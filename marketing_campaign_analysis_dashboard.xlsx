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24226"/>
  <mc:AlternateContent xmlns:mc="http://schemas.openxmlformats.org/markup-compatibility/2006">
    <mc:Choice Requires="x15">
      <x15ac:absPath xmlns:x15ac="http://schemas.microsoft.com/office/spreadsheetml/2010/11/ac" url="C:\Users\keert\Documents\"/>
    </mc:Choice>
  </mc:AlternateContent>
  <xr:revisionPtr revIDLastSave="0" documentId="8_{9429E4B0-B6C4-460B-BD93-861C453CBAB1}" xr6:coauthVersionLast="47" xr6:coauthVersionMax="47" xr10:uidLastSave="{00000000-0000-0000-0000-000000000000}"/>
  <bookViews>
    <workbookView xWindow="-110" yWindow="-110" windowWidth="19420" windowHeight="10300" activeTab="3" xr2:uid="{00000000-000D-0000-FFFF-FFFF00000000}"/>
  </bookViews>
  <sheets>
    <sheet name="Raw Data" sheetId="1" r:id="rId1"/>
    <sheet name="Working_data" sheetId="5" r:id="rId2"/>
    <sheet name="Pivot_Tables" sheetId="9" r:id="rId3"/>
    <sheet name="Dashboard" sheetId="4" r:id="rId4"/>
  </sheets>
  <definedNames>
    <definedName name="Slicer_Channel1">#N/A</definedName>
    <definedName name="Slicer_Month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5" l="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6E0492-74D1-4F9F-AE31-51DE0D8CF8A9}"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<sst xmlns="http://schemas.openxmlformats.org/spreadsheetml/2006/main" count="788" uniqueCount="31">
  <si>
    <t>Date</t>
  </si>
  <si>
    <t>Channel</t>
  </si>
  <si>
    <t>Leads</t>
  </si>
  <si>
    <t>Conversions</t>
  </si>
  <si>
    <t>Ad Spend</t>
  </si>
  <si>
    <t>Conversion Rate</t>
  </si>
  <si>
    <t>Revenue</t>
  </si>
  <si>
    <t>Google Ads</t>
  </si>
  <si>
    <t>Facebook Ads</t>
  </si>
  <si>
    <t>LinkedIn Ads</t>
  </si>
  <si>
    <t>Instagram Ads</t>
  </si>
  <si>
    <t>Sum of Ad Spend</t>
  </si>
  <si>
    <t>Sum of Revenue</t>
  </si>
  <si>
    <t>Sum of Conversion Rate</t>
  </si>
  <si>
    <t>Sum of Leads</t>
  </si>
  <si>
    <t>Sum of Conversions</t>
  </si>
  <si>
    <t>ROAS</t>
  </si>
  <si>
    <t>Sum of ROAS</t>
  </si>
  <si>
    <t>Row Labels</t>
  </si>
  <si>
    <t>Grand Total</t>
  </si>
  <si>
    <t>Jan</t>
  </si>
  <si>
    <t>Feb</t>
  </si>
  <si>
    <t>Mar</t>
  </si>
  <si>
    <t>_Leads</t>
  </si>
  <si>
    <t>_Revenue</t>
  </si>
  <si>
    <t>_Ad Spend</t>
  </si>
  <si>
    <t>_Conversions</t>
  </si>
  <si>
    <t>CPL</t>
  </si>
  <si>
    <t>CPA</t>
  </si>
  <si>
    <t>Sum of CPL</t>
  </si>
  <si>
    <t>Sum of CPA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</si>
</sst>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
      <b/>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bgColor theme="9"/>
      </patternFill>
    </fill>
    <fill>
      <patternFill patternType="solid">
        <fgColor theme="9" tint="0.79998168889431442"/>
        <bgColor theme="9" tint="0.79998168889431442"/>
      </patternFill>
    </fill>
  </fills>
  <borders count="6">
    <border>
      <left/>
      <right/>
      <top/>
      <bottom/>
      <diagonal/>
    </border>
    <border>
      <left style="thin">
        <color auto="1"/>
      </left>
      <right style="thin">
        <color auto="1"/>
      </right>
      <top/>
      <bottom style="thin">
        <color auto="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24">
    <xf numFmtId="0" fontId="0" fillId="0" borderId="0" xfId="0"/>
    <xf numFmtId="164" fontId="0" fillId="0" borderId="0" xfId="0" applyNumberFormat="1"/>
    <xf numFmtId="0" fontId="0" fillId="2" borderId="0" xfId="0" applyFill="1"/>
    <xf numFmtId="0" fontId="1" fillId="0" borderId="1" xfId="0" applyFont="1" applyBorder="1" applyAlignment="1">
      <alignment horizontal="center" vertical="top"/>
    </xf>
    <xf numFmtId="0" fontId="0" fillId="0" borderId="2" xfId="0" applyBorder="1"/>
    <xf numFmtId="0" fontId="0" fillId="0" borderId="3" xfId="0" applyBorder="1"/>
    <xf numFmtId="0" fontId="2" fillId="3" borderId="4" xfId="0" applyFont="1" applyFill="1" applyBorder="1"/>
    <xf numFmtId="0" fontId="2" fillId="3" borderId="5" xfId="0" applyFont="1" applyFill="1" applyBorder="1"/>
    <xf numFmtId="0" fontId="0" fillId="4" borderId="4" xfId="0" applyFill="1" applyBorder="1"/>
    <xf numFmtId="0" fontId="0" fillId="4" borderId="5" xfId="0" applyFill="1" applyBorder="1"/>
    <xf numFmtId="0" fontId="0" fillId="0" borderId="4" xfId="0" applyBorder="1"/>
    <xf numFmtId="0" fontId="0" fillId="0" borderId="5" xfId="0" applyBorder="1"/>
    <xf numFmtId="0" fontId="5" fillId="2" borderId="0" xfId="0" applyFont="1" applyFill="1"/>
    <xf numFmtId="2" fontId="4" fillId="0" borderId="0" xfId="0" applyNumberFormat="1" applyFont="1"/>
    <xf numFmtId="0" fontId="2" fillId="3" borderId="0" xfId="0" applyFont="1" applyFill="1"/>
    <xf numFmtId="2" fontId="0" fillId="0" borderId="0" xfId="0" applyNumberFormat="1"/>
    <xf numFmtId="14" fontId="0" fillId="4" borderId="4" xfId="0" applyNumberFormat="1" applyFill="1" applyBorder="1"/>
    <xf numFmtId="14" fontId="0" fillId="0" borderId="4" xfId="0" applyNumberFormat="1" applyBorder="1"/>
    <xf numFmtId="14" fontId="0" fillId="0" borderId="2" xfId="0" applyNumberFormat="1" applyBorder="1"/>
    <xf numFmtId="0" fontId="0" fillId="0" borderId="0" xfId="0" pivotButton="1"/>
    <xf numFmtId="0" fontId="0" fillId="0" borderId="0" xfId="0" applyAlignment="1">
      <alignment horizontal="left"/>
    </xf>
    <xf numFmtId="0" fontId="4" fillId="2" borderId="0" xfId="0" applyFont="1" applyFill="1"/>
    <xf numFmtId="0" fontId="4" fillId="0" borderId="0" xfId="0" applyFont="1"/>
    <xf numFmtId="0" fontId="0" fillId="2" borderId="0" xfId="0" applyFill="1" applyAlignment="1">
      <alignment horizontal="center"/>
    </xf>
  </cellXfs>
  <cellStyles count="1">
    <cellStyle name="Normal" xfId="0" builtinId="0"/>
  </cellStyles>
  <dxfs count="44">
    <dxf>
      <numFmt numFmtId="2" formatCode="0.00"/>
    </dxf>
    <dxf>
      <numFmt numFmtId="2" formatCode="0.00"/>
      <border diagonalUp="0" diagonalDown="0" outline="0">
        <left/>
        <right/>
        <top style="thin">
          <color theme="9" tint="0.39997558519241921"/>
        </top>
        <bottom/>
      </border>
    </dxf>
    <dxf>
      <numFmt numFmtId="2" formatCode="0.00"/>
    </dxf>
    <dxf>
      <border diagonalUp="0" diagonalDown="0">
        <left/>
        <right style="thin">
          <color theme="9" tint="0.39997558519241921"/>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border diagonalUp="0" diagonalDown="0">
        <left/>
        <right/>
        <top style="thin">
          <color theme="9" tint="0.39997558519241921"/>
        </top>
        <bottom/>
        <vertical/>
        <horizontal/>
      </border>
    </dxf>
    <dxf>
      <numFmt numFmtId="19" formatCode="dd/mm/yyyy"/>
      <border diagonalUp="0" diagonalDown="0">
        <left/>
        <right/>
        <top style="thin">
          <color theme="9" tint="0.39997558519241921"/>
        </top>
        <bottom/>
        <vertical/>
        <horizontal/>
      </border>
    </dxf>
    <dxf>
      <border outline="0">
        <left style="thin">
          <color theme="9" tint="0.39997558519241921"/>
        </left>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font>
    </dxf>
    <dxf>
      <font>
        <sz val="12"/>
      </font>
    </dxf>
    <dxf>
      <font>
        <sz val="12"/>
      </font>
    </dxf>
    <dxf>
      <font>
        <b/>
      </font>
    </dxf>
    <dxf>
      <font>
        <b/>
      </font>
    </dxf>
    <dxf>
      <font>
        <sz val="12"/>
      </font>
    </dxf>
    <dxf>
      <font>
        <sz val="12"/>
      </font>
    </dxf>
    <dxf>
      <font>
        <b/>
      </font>
    </dxf>
    <dxf>
      <font>
        <sz val="12"/>
      </font>
    </dxf>
    <dxf>
      <font>
        <b/>
      </font>
    </dxf>
    <dxf>
      <font>
        <sz val="12"/>
      </font>
    </dxf>
    <dxf>
      <font>
        <b/>
      </font>
    </dxf>
    <dxf>
      <font>
        <sz val="12"/>
      </font>
    </dxf>
    <dxf>
      <font>
        <b/>
      </font>
    </dxf>
    <dxf>
      <font>
        <sz val="12"/>
      </font>
    </dxf>
    <dxf>
      <font>
        <b/>
      </font>
    </dxf>
    <dxf>
      <font>
        <sz val="12"/>
      </font>
    </dxf>
    <dxf>
      <font>
        <b/>
      </font>
    </dxf>
    <dxf>
      <font>
        <b/>
      </font>
    </dxf>
    <dxf>
      <font>
        <sz val="12"/>
      </font>
    </dxf>
    <dxf>
      <font>
        <sz val="12"/>
      </font>
    </dxf>
    <dxf>
      <font>
        <b/>
      </font>
    </dxf>
    <dxf>
      <font>
        <b/>
      </font>
    </dxf>
    <dxf>
      <font>
        <sz val="12"/>
      </font>
    </dxf>
    <dxf>
      <font>
        <b/>
      </font>
    </dxf>
    <dxf>
      <font>
        <sz val="12"/>
      </font>
    </dxf>
    <dxf>
      <font>
        <sz val="12"/>
      </font>
    </dxf>
    <dxf>
      <font>
        <b/>
      </font>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[Marketing_Dashboard_data.xlsx]Pivot_Tables!PivotTable1</c:name>
    <c:fmtId val="3"/>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897253203246763"/>
          <c:w val="1"/>
          <c:h val="0.71312713802805483"/>
        </c:manualLayout>
      </c:layout>
      <c:barChart>
        <c:barDir val="col"/>
        <c:grouping val="clustered"/>
        <c:varyColors val="0"/>
        <c:ser>
          <c:idx val="0"/>
          <c:order val="0"/>
          <c:tx>
            <c:strRef>
              <c:f>Pivot_Tables!$D$3</c:f>
              <c:strCache>
                <c:ptCount val="1"/>
                <c:pt idx="0">
                  <c:v>_Ad Spend</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Pivot_Tables!$C$4:$C$7</c:f>
              <c:strCache>
                <c:ptCount val="3"/>
                <c:pt idx="0">
                  <c:v>Jan</c:v>
                </c:pt>
                <c:pt idx="1">
                  <c:v>Feb</c:v>
                </c:pt>
                <c:pt idx="2">
                  <c:v>Mar</c:v>
                </c:pt>
              </c:strCache>
            </c:strRef>
          </c:cat>
          <c:val>
            <c:numRef>
              <c:f>Pivot_Tables!$D$4:$D$7</c:f>
              <c:numCache>
                <c:formatCode>General</c:formatCode>
                <c:ptCount val="3"/>
                <c:pt idx="0">
                  <c:v>128469</c:v>
                </c:pt>
                <c:pt idx="1">
                  <c:v>125913</c:v>
                </c:pt>
                <c:pt idx="2">
                  <c:v>114501</c:v>
                </c:pt>
              </c:numCache>
            </c:numRef>
          </c:val>
          <c:extLst>
            <c:ext xmlns:c16="http://schemas.microsoft.com/office/drawing/2014/chart" uri="{C3380CC4-5D6E-409C-BE32-E72D297353CC}">
              <c16:uniqueId val="{00000000-4505-4C48-AD54-ADFF97D2A2CE}"/>
            </c:ext>
          </c:extLst>
        </c:ser>
        <c:ser>
          <c:idx val="1"/>
          <c:order val="1"/>
          <c:tx>
            <c:strRef>
              <c:f>Pivot_Tables!$E$3</c:f>
              <c:strCache>
                <c:ptCount val="1"/>
                <c:pt idx="0">
                  <c:v>_Revenue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Pivot_Tables!$C$4:$C$7</c:f>
              <c:strCache>
                <c:ptCount val="3"/>
                <c:pt idx="0">
                  <c:v>Jan</c:v>
                </c:pt>
                <c:pt idx="1">
                  <c:v>Feb</c:v>
                </c:pt>
                <c:pt idx="2">
                  <c:v>Mar</c:v>
                </c:pt>
              </c:strCache>
            </c:strRef>
          </c:cat>
          <c:val>
            <c:numRef>
              <c:f>Pivot_Tables!$E$4:$E$7</c:f>
              <c:numCache>
                <c:formatCode>General</c:formatCode>
                <c:ptCount val="3"/>
                <c:pt idx="0">
                  <c:v>160100</c:v>
                </c:pt>
                <c:pt idx="1">
                  <c:v>152100</c:v>
                </c:pt>
                <c:pt idx="2">
                  <c:v>178600</c:v>
                </c:pt>
              </c:numCache>
            </c:numRef>
          </c:val>
          <c:extLst>
            <c:ext xmlns:c16="http://schemas.microsoft.com/office/drawing/2014/chart" uri="{C3380CC4-5D6E-409C-BE32-E72D297353CC}">
              <c16:uniqueId val="{00000002-4505-4C48-AD54-ADFF97D2A2CE}"/>
            </c:ext>
          </c:extLst>
        </c:ser>
        <c:dLbls>
          <c:dLblPos val="outEnd"/>
          <c:showLegendKey val="0"/>
          <c:showVal val="1"/>
          <c:showCatName val="0"/>
          <c:showSerName val="0"/>
          <c:showPercent val="0"/>
          <c:showBubbleSize val="0"/>
        </c:dLbls>
        <c:gapWidth val="219"/>
        <c:overlap val="-27"/>
        <c:axId val="292865536"/>
        <c:axId val="2128503856"/>
      </c:barChart>
      <c:catAx>
        <c:axId val="29286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crossAx val="2128503856"/>
        <c:crosses val="autoZero"/>
        <c:auto val="1"/>
        <c:lblAlgn val="ctr"/>
        <c:lblOffset val="100"/>
        <c:noMultiLvlLbl val="0"/>
      </c:catAx>
      <c:valAx>
        <c:axId val="2128503856"/>
        <c:scaling>
          <c:orientation val="minMax"/>
        </c:scaling>
        <c:delete val="1"/>
        <c:axPos val="l"/>
        <c:numFmt formatCode="General" sourceLinked="1"/>
        <c:majorTickMark val="none"/>
        <c:minorTickMark val="none"/>
        <c:tickLblPos val="nextTo"/>
        <c:crossAx val="292865536"/>
        <c:crosses val="autoZero"/>
        <c:crossBetween val="between"/>
      </c:valAx>
      <c:spPr>
        <a:noFill/>
        <a:ln>
          <a:noFill/>
        </a:ln>
        <a:effectLst/>
      </c:spPr>
    </c:plotArea>
    <c:legend>
      <c:legendPos val="r"/>
      <c:layout>
        <c:manualLayout>
          <c:xMode val="edge"/>
          <c:yMode val="edge"/>
          <c:x val="0"/>
          <c:y val="0.1209622897394895"/>
          <c:w val="0.49951324266284897"/>
          <c:h val="0.10124057631093986"/>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[Marketing_Dashboard_data.xlsx]Pivot_Tables!PivotTable2</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400" b="1">
                <a:solidFill>
                  <a:schemeClr val="accent2">
                    <a:lumMod val="50000"/>
                  </a:schemeClr>
                </a:solidFill>
              </a:rPr>
              <a:t>Total</a:t>
            </a:r>
            <a:r>
              <a:rPr lang="en-US" sz="1400" b="1" baseline="0">
                <a:solidFill>
                  <a:schemeClr val="accent2">
                    <a:lumMod val="50000"/>
                  </a:schemeClr>
                </a:solidFill>
              </a:rPr>
              <a:t> Leads By Channel</a:t>
            </a:r>
          </a:p>
        </c:rich>
      </c:tx>
      <c:layout>
        <c:manualLayout>
          <c:xMode val="edge"/>
          <c:yMode val="edge"/>
          <c:x val="0.32709711286089238"/>
          <c:y val="0"/>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70405292695684"/>
          <c:y val="0.12682414698162731"/>
          <c:w val="0.79529581972985086"/>
          <c:h val="0.86995370370370373"/>
        </c:manualLayout>
      </c:layout>
      <c:barChart>
        <c:barDir val="bar"/>
        <c:grouping val="clustered"/>
        <c:varyColors val="0"/>
        <c:ser>
          <c:idx val="0"/>
          <c:order val="0"/>
          <c:tx>
            <c:strRef>
              <c:f>Pivot_Tables!$H$3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Pivot_Tables!$G$4:$G$8</c:f>
              <c:strCache>
                <c:ptCount val="4"/>
                <c:pt idx="0">
                  <c:v>Facebook Ads</c:v>
                </c:pt>
                <c:pt idx="1">
                  <c:v>Google Ads</c:v>
                </c:pt>
                <c:pt idx="2">
                  <c:v>Instagram Ads</c:v>
                </c:pt>
                <c:pt idx="3">
                  <c:v>LinkedIn Ads</c:v>
                </c:pt>
              </c:strCache>
            </c:strRef>
          </c:cat>
          <c:val>
            <c:numRef>
              <c:f>Pivot_Tables!$H$4:$H$8</c:f>
              <c:numCache>
                <c:formatCode>General</c:formatCode>
                <c:ptCount val="4"/>
                <c:pt idx="0">
                  <c:v>8041</c:v>
                </c:pt>
                <c:pt idx="1">
                  <c:v>7979</c:v>
                </c:pt>
                <c:pt idx="2">
                  <c:v>7359</c:v>
                </c:pt>
                <c:pt idx="3">
                  <c:v>7256</c:v>
                </c:pt>
              </c:numCache>
            </c:numRef>
          </c:val>
          <c:extLst>
            <c:ext xmlns:c16="http://schemas.microsoft.com/office/drawing/2014/chart" uri="{C3380CC4-5D6E-409C-BE32-E72D297353CC}">
              <c16:uniqueId val="{00000000-9CFB-4654-8518-ABC1ED7F86A3}"/>
            </c:ext>
          </c:extLst>
        </c:ser>
        <c:dLbls>
          <c:dLblPos val="outEnd"/>
          <c:showLegendKey val="0"/>
          <c:showVal val="1"/>
          <c:showCatName val="0"/>
          <c:showSerName val="0"/>
          <c:showPercent val="0"/>
          <c:showBubbleSize val="0"/>
        </c:dLbls>
        <c:gapWidth val="182"/>
        <c:axId val="508733408"/>
        <c:axId val="508735328"/>
      </c:barChart>
      <c:catAx>
        <c:axId val="50873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50" b="1" i="0" u="none" strike="noStrike" kern="1200" baseline="0">
                <a:solidFill>
                  <a:schemeClr val="tx1"/>
                </a:solidFill>
                <a:latin typeface="+mn-lt"/>
                <a:ea typeface="+mn-ea"/>
                <a:cs typeface="+mn-cs"/>
              </a:defRPr>
            </a:pPr>
            <a:endParaRPr lang="en-US"/>
          </a:p>
        </c:txPr>
        <c:crossAx val="508735328"/>
        <c:crosses val="autoZero"/>
        <c:auto val="1"/>
        <c:lblAlgn val="ctr"/>
        <c:lblOffset val="100"/>
        <c:noMultiLvlLbl val="0"/>
      </c:catAx>
      <c:valAx>
        <c:axId val="508735328"/>
        <c:scaling>
          <c:orientation val="minMax"/>
        </c:scaling>
        <c:delete val="1"/>
        <c:axPos val="b"/>
        <c:numFmt formatCode="General" sourceLinked="1"/>
        <c:majorTickMark val="none"/>
        <c:minorTickMark val="none"/>
        <c:tickLblPos val="nextTo"/>
        <c:crossAx val="50873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[Marketing_Dashboard_data.xlsx]Pivot_Tables!PivotTable3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Revenue</a:t>
            </a:r>
            <a:r>
              <a:rPr lang="en-US" b="1" baseline="0">
                <a:solidFill>
                  <a:schemeClr val="accent2">
                    <a:lumMod val="50000"/>
                  </a:schemeClr>
                </a:solidFill>
              </a:rPr>
              <a:t> By Channel</a:t>
            </a:r>
          </a:p>
        </c:rich>
      </c:tx>
      <c:layout>
        <c:manualLayout>
          <c:xMode val="edge"/>
          <c:yMode val="edge"/>
          <c:x val="0.24962739174219536"/>
          <c:y val="5.26315789473684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hade val="58000"/>
            </a:schemeClr>
          </a:solidFill>
          <a:ln w="19050">
            <a:solidFill>
              <a:schemeClr val="lt1"/>
            </a:solidFill>
          </a:ln>
          <a:effectLst/>
        </c:spPr>
      </c:pivotFmt>
      <c:pivotFmt>
        <c:idx val="3"/>
        <c:spPr>
          <a:solidFill>
            <a:schemeClr val="accent6">
              <a:shade val="86000"/>
            </a:schemeClr>
          </a:solidFill>
          <a:ln w="19050">
            <a:solidFill>
              <a:schemeClr val="lt1"/>
            </a:solidFill>
          </a:ln>
          <a:effectLst/>
        </c:spPr>
      </c:pivotFmt>
      <c:pivotFmt>
        <c:idx val="4"/>
        <c:spPr>
          <a:solidFill>
            <a:schemeClr val="accent6">
              <a:tint val="86000"/>
            </a:schemeClr>
          </a:solidFill>
          <a:ln w="19050">
            <a:solidFill>
              <a:schemeClr val="lt1"/>
            </a:solidFill>
          </a:ln>
          <a:effectLst/>
        </c:spPr>
      </c:pivotFmt>
      <c:pivotFmt>
        <c:idx val="5"/>
        <c:spPr>
          <a:solidFill>
            <a:schemeClr val="accent6">
              <a:tint val="58000"/>
            </a:schemeClr>
          </a:solidFill>
          <a:ln w="19050">
            <a:solidFill>
              <a:schemeClr val="lt1"/>
            </a:solidFill>
          </a:ln>
          <a:effectLst/>
        </c:spPr>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hade val="58000"/>
            </a:schemeClr>
          </a:solidFill>
          <a:ln w="19050">
            <a:solidFill>
              <a:schemeClr val="lt1"/>
            </a:solidFill>
          </a:ln>
          <a:effectLst/>
        </c:spPr>
      </c:pivotFmt>
      <c:pivotFmt>
        <c:idx val="8"/>
        <c:spPr>
          <a:solidFill>
            <a:schemeClr val="accent6">
              <a:shade val="86000"/>
            </a:schemeClr>
          </a:solidFill>
          <a:ln w="19050">
            <a:solidFill>
              <a:schemeClr val="lt1"/>
            </a:solidFill>
          </a:ln>
          <a:effectLst/>
        </c:spPr>
      </c:pivotFmt>
      <c:pivotFmt>
        <c:idx val="9"/>
        <c:spPr>
          <a:solidFill>
            <a:schemeClr val="accent6">
              <a:tint val="86000"/>
            </a:schemeClr>
          </a:solidFill>
          <a:ln w="19050">
            <a:solidFill>
              <a:schemeClr val="lt1"/>
            </a:solidFill>
          </a:ln>
          <a:effectLst/>
        </c:spPr>
      </c:pivotFmt>
      <c:pivotFmt>
        <c:idx val="10"/>
        <c:spPr>
          <a:solidFill>
            <a:schemeClr val="accent6">
              <a:tint val="58000"/>
            </a:schemeClr>
          </a:solidFill>
          <a:ln w="19050">
            <a:solidFill>
              <a:schemeClr val="lt1"/>
            </a:solidFill>
          </a:ln>
          <a:effectLst/>
        </c:spPr>
      </c:pivotFmt>
    </c:pivotFmts>
    <c:plotArea>
      <c:layout>
        <c:manualLayout>
          <c:layoutTarget val="inner"/>
          <c:xMode val="edge"/>
          <c:yMode val="edge"/>
          <c:x val="8.0080246766737237E-2"/>
          <c:y val="0.20984798143006692"/>
          <c:w val="0.49628660465780139"/>
          <c:h val="0.71215693414045778"/>
        </c:manualLayout>
      </c:layout>
      <c:pieChart>
        <c:varyColors val="1"/>
        <c:ser>
          <c:idx val="0"/>
          <c:order val="0"/>
          <c:tx>
            <c:strRef>
              <c:f>Pivot_Tables!$K$3</c:f>
              <c:strCache>
                <c:ptCount val="1"/>
                <c:pt idx="0">
                  <c:v>Total</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A54E-4083-BA0A-E1CDC8F30DB7}"/>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A54E-4083-BA0A-E1CDC8F30DB7}"/>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A54E-4083-BA0A-E1CDC8F30DB7}"/>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A54E-4083-BA0A-E1CDC8F30DB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Pivot_Tables!$J$4:$J$8</c:f>
              <c:strCache>
                <c:ptCount val="4"/>
                <c:pt idx="0">
                  <c:v>Facebook Ads</c:v>
                </c:pt>
                <c:pt idx="1">
                  <c:v>Google Ads</c:v>
                </c:pt>
                <c:pt idx="2">
                  <c:v>Instagram Ads</c:v>
                </c:pt>
                <c:pt idx="3">
                  <c:v>LinkedIn Ads</c:v>
                </c:pt>
              </c:strCache>
            </c:strRef>
          </c:cat>
          <c:val>
            <c:numRef>
              <c:f>Pivot_Tables!$K$4:$K$8</c:f>
              <c:numCache>
                <c:formatCode>General</c:formatCode>
                <c:ptCount val="4"/>
                <c:pt idx="0">
                  <c:v>116000</c:v>
                </c:pt>
                <c:pt idx="1">
                  <c:v>117600</c:v>
                </c:pt>
                <c:pt idx="2">
                  <c:v>132300</c:v>
                </c:pt>
                <c:pt idx="3">
                  <c:v>124900</c:v>
                </c:pt>
              </c:numCache>
            </c:numRef>
          </c:val>
          <c:extLst>
            <c:ext xmlns:c16="http://schemas.microsoft.com/office/drawing/2014/chart" uri="{C3380CC4-5D6E-409C-BE32-E72D297353CC}">
              <c16:uniqueId val="{00000008-A54E-4083-BA0A-E1CDC8F30DB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707408258317854"/>
          <c:y val="0.34962103667522848"/>
          <c:w val="0.33640396158939345"/>
          <c:h val="0.4461426425743024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[Marketing_Dashboard_data.xlsx]Pivot_Tables!PivotTable4</c:name>
    <c:fmtId val="8"/>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18402171007997E-2"/>
          <c:y val="0.1692238470191226"/>
          <c:w val="0.97948082296164596"/>
          <c:h val="0.70111764331345383"/>
        </c:manualLayout>
      </c:layout>
      <c:barChart>
        <c:barDir val="col"/>
        <c:grouping val="clustered"/>
        <c:varyColors val="0"/>
        <c:ser>
          <c:idx val="0"/>
          <c:order val="0"/>
          <c:tx>
            <c:strRef>
              <c:f>Pivot_Tables!$D$9</c:f>
              <c:strCache>
                <c:ptCount val="1"/>
                <c:pt idx="0">
                  <c:v>_Ad Spend</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Pivot_Tables!$C$10:$C$14</c:f>
              <c:strCache>
                <c:ptCount val="4"/>
                <c:pt idx="0">
                  <c:v>Facebook Ads</c:v>
                </c:pt>
                <c:pt idx="1">
                  <c:v>Google Ads</c:v>
                </c:pt>
                <c:pt idx="2">
                  <c:v>Instagram Ads</c:v>
                </c:pt>
                <c:pt idx="3">
                  <c:v>LinkedIn Ads</c:v>
                </c:pt>
              </c:strCache>
            </c:strRef>
          </c:cat>
          <c:val>
            <c:numRef>
              <c:f>Pivot_Tables!$D$10:$D$14</c:f>
              <c:numCache>
                <c:formatCode>General</c:formatCode>
                <c:ptCount val="4"/>
                <c:pt idx="0">
                  <c:v>93776</c:v>
                </c:pt>
                <c:pt idx="1">
                  <c:v>96717</c:v>
                </c:pt>
                <c:pt idx="2">
                  <c:v>92768</c:v>
                </c:pt>
                <c:pt idx="3">
                  <c:v>85622</c:v>
                </c:pt>
              </c:numCache>
            </c:numRef>
          </c:val>
          <c:extLst>
            <c:ext xmlns:c16="http://schemas.microsoft.com/office/drawing/2014/chart" uri="{C3380CC4-5D6E-409C-BE32-E72D297353CC}">
              <c16:uniqueId val="{00000000-20AD-4F65-A9F0-488AFBD9EB80}"/>
            </c:ext>
          </c:extLst>
        </c:ser>
        <c:ser>
          <c:idx val="1"/>
          <c:order val="1"/>
          <c:tx>
            <c:strRef>
              <c:f>Pivot_Tables!$E$9</c:f>
              <c:strCache>
                <c:ptCount val="1"/>
                <c:pt idx="0">
                  <c:v>_Revenue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Pivot_Tables!$C$10:$C$14</c:f>
              <c:strCache>
                <c:ptCount val="4"/>
                <c:pt idx="0">
                  <c:v>Facebook Ads</c:v>
                </c:pt>
                <c:pt idx="1">
                  <c:v>Google Ads</c:v>
                </c:pt>
                <c:pt idx="2">
                  <c:v>Instagram Ads</c:v>
                </c:pt>
                <c:pt idx="3">
                  <c:v>LinkedIn Ads</c:v>
                </c:pt>
              </c:strCache>
            </c:strRef>
          </c:cat>
          <c:val>
            <c:numRef>
              <c:f>Pivot_Tables!$E$10:$E$14</c:f>
              <c:numCache>
                <c:formatCode>General</c:formatCode>
                <c:ptCount val="4"/>
                <c:pt idx="0">
                  <c:v>116000</c:v>
                </c:pt>
                <c:pt idx="1">
                  <c:v>117600</c:v>
                </c:pt>
                <c:pt idx="2">
                  <c:v>132300</c:v>
                </c:pt>
                <c:pt idx="3">
                  <c:v>124900</c:v>
                </c:pt>
              </c:numCache>
            </c:numRef>
          </c:val>
          <c:extLst>
            <c:ext xmlns:c16="http://schemas.microsoft.com/office/drawing/2014/chart" uri="{C3380CC4-5D6E-409C-BE32-E72D297353CC}">
              <c16:uniqueId val="{00000001-20AD-4F65-A9F0-488AFBD9EB80}"/>
            </c:ext>
          </c:extLst>
        </c:ser>
        <c:dLbls>
          <c:dLblPos val="outEnd"/>
          <c:showLegendKey val="0"/>
          <c:showVal val="1"/>
          <c:showCatName val="0"/>
          <c:showSerName val="0"/>
          <c:showPercent val="0"/>
          <c:showBubbleSize val="0"/>
        </c:dLbls>
        <c:gapWidth val="219"/>
        <c:overlap val="-27"/>
        <c:axId val="503398560"/>
        <c:axId val="503399520"/>
      </c:barChart>
      <c:catAx>
        <c:axId val="50339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03399520"/>
        <c:crosses val="autoZero"/>
        <c:auto val="1"/>
        <c:lblAlgn val="ctr"/>
        <c:lblOffset val="100"/>
        <c:noMultiLvlLbl val="0"/>
      </c:catAx>
      <c:valAx>
        <c:axId val="503399520"/>
        <c:scaling>
          <c:orientation val="minMax"/>
        </c:scaling>
        <c:delete val="1"/>
        <c:axPos val="l"/>
        <c:numFmt formatCode="General" sourceLinked="1"/>
        <c:majorTickMark val="none"/>
        <c:minorTickMark val="none"/>
        <c:tickLblPos val="nextTo"/>
        <c:crossAx val="503398560"/>
        <c:crosses val="autoZero"/>
        <c:crossBetween val="between"/>
      </c:valAx>
      <c:spPr>
        <a:noFill/>
        <a:ln>
          <a:noFill/>
        </a:ln>
        <a:effectLst/>
      </c:spPr>
    </c:plotArea>
    <c:legend>
      <c:legendPos val="r"/>
      <c:layout>
        <c:manualLayout>
          <c:xMode val="edge"/>
          <c:yMode val="edge"/>
          <c:x val="0"/>
          <c:y val="0.11226308975529002"/>
          <c:w val="0.4568456961345741"/>
          <c:h val="7.7547389909594616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[Marketing_Dashboard_data.xlsx]Pivot_Tables!PivotTable5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50000"/>
                  </a:schemeClr>
                </a:solidFill>
              </a:rPr>
              <a:t>Conversion</a:t>
            </a:r>
            <a:r>
              <a:rPr lang="en-US" b="1" baseline="0">
                <a:solidFill>
                  <a:schemeClr val="accent2">
                    <a:lumMod val="50000"/>
                  </a:schemeClr>
                </a:solidFill>
              </a:rPr>
              <a:t> Rate By Channel</a:t>
            </a:r>
            <a:endParaRPr lang="en-US" b="1">
              <a:solidFill>
                <a:schemeClr val="accent2">
                  <a:lumMod val="50000"/>
                </a:schemeClr>
              </a:solidFill>
            </a:endParaRPr>
          </a:p>
        </c:rich>
      </c:tx>
      <c:layout>
        <c:manualLayout>
          <c:xMode val="edge"/>
          <c:yMode val="edge"/>
          <c:x val="0.12981681132416339"/>
          <c:y val="2.3107130692632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42989198244607"/>
          <c:y val="0.15069069069069072"/>
          <c:w val="0.63957010801755387"/>
          <c:h val="0.80373646653543329"/>
        </c:manualLayout>
      </c:layout>
      <c:barChart>
        <c:barDir val="bar"/>
        <c:grouping val="clustered"/>
        <c:varyColors val="0"/>
        <c:ser>
          <c:idx val="0"/>
          <c:order val="0"/>
          <c:tx>
            <c:strRef>
              <c:f>Pivot_Tables!$H$10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Pivot_Tables!$G$11:$G$15</c:f>
              <c:strCache>
                <c:ptCount val="4"/>
                <c:pt idx="0">
                  <c:v>Facebook Ads</c:v>
                </c:pt>
                <c:pt idx="1">
                  <c:v>Google Ads</c:v>
                </c:pt>
                <c:pt idx="2">
                  <c:v>Instagram Ads</c:v>
                </c:pt>
                <c:pt idx="3">
                  <c:v>LinkedIn Ads</c:v>
                </c:pt>
              </c:strCache>
            </c:strRef>
          </c:cat>
          <c:val>
            <c:numRef>
              <c:f>Pivot_Tables!$H$11:$H$15</c:f>
              <c:numCache>
                <c:formatCode>General</c:formatCode>
                <c:ptCount val="4"/>
                <c:pt idx="0">
                  <c:v>33.519999999999989</c:v>
                </c:pt>
                <c:pt idx="1">
                  <c:v>35.290000000000013</c:v>
                </c:pt>
                <c:pt idx="2">
                  <c:v>43.180000000000007</c:v>
                </c:pt>
                <c:pt idx="3">
                  <c:v>41.959999999999994</c:v>
                </c:pt>
              </c:numCache>
            </c:numRef>
          </c:val>
          <c:extLst>
            <c:ext xmlns:c16="http://schemas.microsoft.com/office/drawing/2014/chart" uri="{C3380CC4-5D6E-409C-BE32-E72D297353CC}">
              <c16:uniqueId val="{00000000-7302-4A78-9C36-3778E34453A3}"/>
            </c:ext>
          </c:extLst>
        </c:ser>
        <c:dLbls>
          <c:dLblPos val="outEnd"/>
          <c:showLegendKey val="0"/>
          <c:showVal val="1"/>
          <c:showCatName val="0"/>
          <c:showSerName val="0"/>
          <c:showPercent val="0"/>
          <c:showBubbleSize val="0"/>
        </c:dLbls>
        <c:gapWidth val="219"/>
        <c:axId val="741804000"/>
        <c:axId val="741792960"/>
      </c:barChart>
      <c:catAx>
        <c:axId val="74180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41792960"/>
        <c:crosses val="autoZero"/>
        <c:auto val="1"/>
        <c:lblAlgn val="ctr"/>
        <c:lblOffset val="100"/>
        <c:noMultiLvlLbl val="0"/>
      </c:catAx>
      <c:valAx>
        <c:axId val="741792960"/>
        <c:scaling>
          <c:orientation val="minMax"/>
        </c:scaling>
        <c:delete val="1"/>
        <c:axPos val="b"/>
        <c:numFmt formatCode="General" sourceLinked="1"/>
        <c:majorTickMark val="none"/>
        <c:minorTickMark val="none"/>
        <c:tickLblPos val="nextTo"/>
        <c:crossAx val="74180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[Marketing_Dashboard_data.xlsx]Pivot_Tables!PivotTable6</c:name>
    <c:fmtId val="6"/>
  </c:pivotSource>
  <c:chart>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hade val="76000"/>
            </a:schemeClr>
          </a:solidFill>
          <a:ln>
            <a:noFill/>
          </a:ln>
          <a:effectLst/>
        </c:spPr>
        <c:marker>
          <c:spPr>
            <a:solidFill>
              <a:schemeClr val="accent6"/>
            </a:solidFill>
            <a:ln w="9525" cap="flat" cmpd="sng" algn="ctr">
              <a:solidFill>
                <a:schemeClr val="accent6">
                  <a:shade val="95000"/>
                  <a:satMod val="105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tint val="77000"/>
            </a:schemeClr>
          </a:solidFill>
          <a:ln>
            <a:noFill/>
          </a:ln>
          <a:effectLst/>
        </c:spPr>
        <c:marker>
          <c:spPr>
            <a:solidFill>
              <a:schemeClr val="accent6"/>
            </a:solidFill>
            <a:ln w="9525" cap="flat" cmpd="sng" algn="ctr">
              <a:solidFill>
                <a:schemeClr val="accent6">
                  <a:shade val="95000"/>
                  <a:satMod val="105000"/>
                </a:schemeClr>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ln w="28575" cap="rnd" cmpd="sng" algn="ctr">
            <a:solidFill>
              <a:schemeClr val="accent6">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7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cmpd="sng" algn="ctr">
            <a:solidFill>
              <a:schemeClr val="accent6">
                <a:shade val="95000"/>
                <a:satMod val="105000"/>
              </a:schemeClr>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444444444444445"/>
          <c:w val="0.96716954582198134"/>
          <c:h val="0.68710491593956158"/>
        </c:manualLayout>
      </c:layout>
      <c:lineChart>
        <c:grouping val="stacked"/>
        <c:varyColors val="0"/>
        <c:ser>
          <c:idx val="0"/>
          <c:order val="0"/>
          <c:tx>
            <c:strRef>
              <c:f>Pivot_Tables!$K$10</c:f>
              <c:strCache>
                <c:ptCount val="1"/>
                <c:pt idx="0">
                  <c:v>_Revenue</c:v>
                </c:pt>
              </c:strCache>
            </c:strRef>
          </c:tx>
          <c:spPr>
            <a:ln w="28575" cap="rnd" cmpd="sng" algn="ctr">
              <a:solidFill>
                <a:schemeClr val="accent6">
                  <a:shade val="95000"/>
                  <a:satMod val="105000"/>
                </a:schemeClr>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Pivot_Tables!$J$11:$J$14</c:f>
              <c:strCache>
                <c:ptCount val="3"/>
                <c:pt idx="0">
                  <c:v>Jan</c:v>
                </c:pt>
                <c:pt idx="1">
                  <c:v>Feb</c:v>
                </c:pt>
                <c:pt idx="2">
                  <c:v>Mar</c:v>
                </c:pt>
              </c:strCache>
            </c:strRef>
          </c:cat>
          <c:val>
            <c:numRef>
              <c:f>Pivot_Tables!$K$11:$K$14</c:f>
              <c:numCache>
                <c:formatCode>General</c:formatCode>
                <c:ptCount val="3"/>
                <c:pt idx="0">
                  <c:v>160100</c:v>
                </c:pt>
                <c:pt idx="1">
                  <c:v>152100</c:v>
                </c:pt>
                <c:pt idx="2">
                  <c:v>178600</c:v>
                </c:pt>
              </c:numCache>
            </c:numRef>
          </c:val>
          <c:smooth val="0"/>
          <c:extLst>
            <c:ext xmlns:c16="http://schemas.microsoft.com/office/drawing/2014/chart" uri="{C3380CC4-5D6E-409C-BE32-E72D297353CC}">
              <c16:uniqueId val="{00000003-CE82-4606-99C0-8FE4439C6D1D}"/>
            </c:ext>
          </c:extLst>
        </c:ser>
        <c:ser>
          <c:idx val="1"/>
          <c:order val="1"/>
          <c:tx>
            <c:strRef>
              <c:f>Pivot_Tables!$L$10</c:f>
              <c:strCache>
                <c:ptCount val="1"/>
                <c:pt idx="0">
                  <c:v>_Conversions</c:v>
                </c:pt>
              </c:strCache>
            </c:strRef>
          </c:tx>
          <c:spPr>
            <a:ln w="28575" cap="rnd" cmpd="sng" algn="ctr">
              <a:solidFill>
                <a:schemeClr val="accent5">
                  <a:shade val="95000"/>
                  <a:satMod val="105000"/>
                </a:schemeClr>
              </a:solidFill>
              <a:prstDash val="solid"/>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Pivot_Tables!$J$11:$J$14</c:f>
              <c:strCache>
                <c:ptCount val="3"/>
                <c:pt idx="0">
                  <c:v>Jan</c:v>
                </c:pt>
                <c:pt idx="1">
                  <c:v>Feb</c:v>
                </c:pt>
                <c:pt idx="2">
                  <c:v>Mar</c:v>
                </c:pt>
              </c:strCache>
            </c:strRef>
          </c:cat>
          <c:val>
            <c:numRef>
              <c:f>Pivot_Tables!$L$11:$L$14</c:f>
              <c:numCache>
                <c:formatCode>General</c:formatCode>
                <c:ptCount val="3"/>
                <c:pt idx="0">
                  <c:v>3202</c:v>
                </c:pt>
                <c:pt idx="1">
                  <c:v>3042</c:v>
                </c:pt>
                <c:pt idx="2">
                  <c:v>3572</c:v>
                </c:pt>
              </c:numCache>
            </c:numRef>
          </c:val>
          <c:smooth val="0"/>
          <c:extLst>
            <c:ext xmlns:c16="http://schemas.microsoft.com/office/drawing/2014/chart" uri="{C3380CC4-5D6E-409C-BE32-E72D297353CC}">
              <c16:uniqueId val="{00000007-CE82-4606-99C0-8FE4439C6D1D}"/>
            </c:ext>
          </c:extLst>
        </c:ser>
        <c:dLbls>
          <c:showLegendKey val="0"/>
          <c:showVal val="1"/>
          <c:showCatName val="0"/>
          <c:showSerName val="0"/>
          <c:showPercent val="0"/>
          <c:showBubbleSize val="0"/>
        </c:dLbls>
        <c:smooth val="0"/>
        <c:axId val="2125275328"/>
        <c:axId val="2125266688"/>
      </c:lineChart>
      <c:catAx>
        <c:axId val="212527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125266688"/>
        <c:crosses val="autoZero"/>
        <c:auto val="1"/>
        <c:lblAlgn val="ctr"/>
        <c:lblOffset val="100"/>
        <c:noMultiLvlLbl val="0"/>
      </c:catAx>
      <c:valAx>
        <c:axId val="2125266688"/>
        <c:scaling>
          <c:orientation val="minMax"/>
        </c:scaling>
        <c:delete val="1"/>
        <c:axPos val="l"/>
        <c:numFmt formatCode="General" sourceLinked="1"/>
        <c:majorTickMark val="none"/>
        <c:minorTickMark val="none"/>
        <c:tickLblPos val="nextTo"/>
        <c:crossAx val="2125275328"/>
        <c:crosses val="autoZero"/>
        <c:crossBetween val="between"/>
      </c:valAx>
      <c:spPr>
        <a:solidFill>
          <a:schemeClr val="bg1"/>
        </a:solidFill>
        <a:ln>
          <a:noFill/>
        </a:ln>
        <a:effectLst/>
      </c:spPr>
    </c:plotArea>
    <c:legend>
      <c:legendPos val="r"/>
      <c:layout>
        <c:manualLayout>
          <c:xMode val="edge"/>
          <c:yMode val="edge"/>
          <c:x val="0"/>
          <c:y val="0.15384369370281156"/>
          <c:w val="0.6140795986532348"/>
          <c:h val="8.217701953922425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469900</xdr:colOff>
      <xdr:row>2</xdr:row>
      <xdr:rowOff>88901</xdr:rowOff>
    </xdr:from>
    <xdr:to>
      <xdr:col>18</xdr:col>
      <xdr:colOff>469900</xdr:colOff>
      <xdr:row>10</xdr:row>
      <xdr:rowOff>0</xdr:rowOff>
    </xdr:to>
    <mc:AlternateContent xmlns:mc="http://schemas.openxmlformats.org/markup-compatibility/2006" xmlns:a14="http://schemas.microsoft.com/office/drawing/2010/main">
      <mc:Choice Requires="a14">
        <xdr:graphicFrame macro="">
          <xdr:nvGraphicFramePr>
            <xdr:cNvPr id="2" name="Channel">
              <a:extLst>
                <a:ext uri="{FF2B5EF4-FFF2-40B4-BE49-F238E27FC236}">
                  <a16:creationId xmlns:a16="http://schemas.microsoft.com/office/drawing/2014/main" id="{B9A2A42D-88D1-0D8B-BF38-4E401E99DA6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3474700" y="457201"/>
              <a:ext cx="1828800" cy="1473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0</xdr:row>
      <xdr:rowOff>76200</xdr:rowOff>
    </xdr:from>
    <xdr:to>
      <xdr:col>15</xdr:col>
      <xdr:colOff>25400</xdr:colOff>
      <xdr:row>2</xdr:row>
      <xdr:rowOff>101600</xdr:rowOff>
    </xdr:to>
    <xdr:sp macro="" textlink="">
      <xdr:nvSpPr>
        <xdr:cNvPr id="2" name="Rectangle: Rounded Corners 1">
          <a:extLst>
            <a:ext uri="{FF2B5EF4-FFF2-40B4-BE49-F238E27FC236}">
              <a16:creationId xmlns:a16="http://schemas.microsoft.com/office/drawing/2014/main" id="{B8FD86B4-6624-8959-D55C-4D3238F4A7F0}"/>
            </a:ext>
          </a:extLst>
        </xdr:cNvPr>
        <xdr:cNvSpPr/>
      </xdr:nvSpPr>
      <xdr:spPr>
        <a:xfrm>
          <a:off x="2705100" y="76200"/>
          <a:ext cx="6464300" cy="393700"/>
        </a:xfrm>
        <a:prstGeom prst="roundRect">
          <a:avLst/>
        </a:prstGeom>
        <a:solidFill>
          <a:schemeClr val="accent6">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a:solidFill>
                <a:schemeClr val="bg1"/>
              </a:solidFill>
            </a:rPr>
            <a:t>  </a:t>
          </a:r>
          <a:r>
            <a:rPr lang="en-IN" sz="2000" b="1">
              <a:solidFill>
                <a:schemeClr val="bg1"/>
              </a:solidFill>
            </a:rPr>
            <a:t>Paid  Digital</a:t>
          </a:r>
          <a:r>
            <a:rPr lang="en-IN" sz="2000" b="1" baseline="0">
              <a:solidFill>
                <a:schemeClr val="bg1"/>
              </a:solidFill>
            </a:rPr>
            <a:t>  Marketing  Campaign  Performance  Analysis</a:t>
          </a:r>
          <a:endParaRPr lang="en-IN" sz="1400" b="1">
            <a:solidFill>
              <a:schemeClr val="bg1"/>
            </a:solidFill>
          </a:endParaRPr>
        </a:p>
      </xdr:txBody>
    </xdr:sp>
    <xdr:clientData/>
  </xdr:twoCellAnchor>
  <xdr:twoCellAnchor>
    <xdr:from>
      <xdr:col>0</xdr:col>
      <xdr:colOff>209550</xdr:colOff>
      <xdr:row>3</xdr:row>
      <xdr:rowOff>6350</xdr:rowOff>
    </xdr:from>
    <xdr:to>
      <xdr:col>2</xdr:col>
      <xdr:colOff>311150</xdr:colOff>
      <xdr:row>5</xdr:row>
      <xdr:rowOff>165350</xdr:rowOff>
    </xdr:to>
    <xdr:sp macro="" textlink="">
      <xdr:nvSpPr>
        <xdr:cNvPr id="5" name="Rectangle: Rounded Corners 4">
          <a:extLst>
            <a:ext uri="{FF2B5EF4-FFF2-40B4-BE49-F238E27FC236}">
              <a16:creationId xmlns:a16="http://schemas.microsoft.com/office/drawing/2014/main" id="{A933BDD6-A15F-FE45-AA60-0B8347C71C02}"/>
            </a:ext>
          </a:extLst>
        </xdr:cNvPr>
        <xdr:cNvSpPr/>
      </xdr:nvSpPr>
      <xdr:spPr>
        <a:xfrm>
          <a:off x="209550" y="558800"/>
          <a:ext cx="1320800" cy="54000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203200</xdr:colOff>
      <xdr:row>2</xdr:row>
      <xdr:rowOff>171450</xdr:rowOff>
    </xdr:from>
    <xdr:to>
      <xdr:col>2</xdr:col>
      <xdr:colOff>311150</xdr:colOff>
      <xdr:row>4</xdr:row>
      <xdr:rowOff>57150</xdr:rowOff>
    </xdr:to>
    <xdr:sp macro="" textlink="">
      <xdr:nvSpPr>
        <xdr:cNvPr id="9" name="TextBox 8">
          <a:extLst>
            <a:ext uri="{FF2B5EF4-FFF2-40B4-BE49-F238E27FC236}">
              <a16:creationId xmlns:a16="http://schemas.microsoft.com/office/drawing/2014/main" id="{9C29E2C5-F83E-4FED-9E3F-C60B5AA22FA2}"/>
            </a:ext>
          </a:extLst>
        </xdr:cNvPr>
        <xdr:cNvSpPr txBox="1"/>
      </xdr:nvSpPr>
      <xdr:spPr>
        <a:xfrm>
          <a:off x="203200" y="539750"/>
          <a:ext cx="1327150" cy="254000"/>
        </a:xfrm>
        <a:prstGeom prst="rect">
          <a:avLst/>
        </a:prstGeom>
        <a:solidFill>
          <a:schemeClr val="accent6">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2">
                  <a:lumMod val="50000"/>
                </a:schemeClr>
              </a:solidFill>
            </a:rPr>
            <a:t>Total Ad Spend</a:t>
          </a:r>
        </a:p>
      </xdr:txBody>
    </xdr:sp>
    <xdr:clientData/>
  </xdr:twoCellAnchor>
  <xdr:twoCellAnchor>
    <xdr:from>
      <xdr:col>2</xdr:col>
      <xdr:colOff>488950</xdr:colOff>
      <xdr:row>3</xdr:row>
      <xdr:rowOff>19050</xdr:rowOff>
    </xdr:from>
    <xdr:to>
      <xdr:col>4</xdr:col>
      <xdr:colOff>450850</xdr:colOff>
      <xdr:row>5</xdr:row>
      <xdr:rowOff>178050</xdr:rowOff>
    </xdr:to>
    <xdr:sp macro="" textlink="">
      <xdr:nvSpPr>
        <xdr:cNvPr id="12" name="Rectangle: Rounded Corners 11">
          <a:extLst>
            <a:ext uri="{FF2B5EF4-FFF2-40B4-BE49-F238E27FC236}">
              <a16:creationId xmlns:a16="http://schemas.microsoft.com/office/drawing/2014/main" id="{06AFA60D-66DA-0821-F512-6034F10D6249}"/>
            </a:ext>
          </a:extLst>
        </xdr:cNvPr>
        <xdr:cNvSpPr/>
      </xdr:nvSpPr>
      <xdr:spPr>
        <a:xfrm>
          <a:off x="1708150" y="571500"/>
          <a:ext cx="1181100" cy="54000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438150</xdr:colOff>
      <xdr:row>2</xdr:row>
      <xdr:rowOff>158750</xdr:rowOff>
    </xdr:from>
    <xdr:to>
      <xdr:col>5</xdr:col>
      <xdr:colOff>152400</xdr:colOff>
      <xdr:row>4</xdr:row>
      <xdr:rowOff>19050</xdr:rowOff>
    </xdr:to>
    <xdr:sp macro="" textlink="">
      <xdr:nvSpPr>
        <xdr:cNvPr id="15" name="TextBox 14">
          <a:extLst>
            <a:ext uri="{FF2B5EF4-FFF2-40B4-BE49-F238E27FC236}">
              <a16:creationId xmlns:a16="http://schemas.microsoft.com/office/drawing/2014/main" id="{DF2BD7B2-2C06-CCD3-150E-BF3ADB8E34B4}"/>
            </a:ext>
          </a:extLst>
        </xdr:cNvPr>
        <xdr:cNvSpPr txBox="1"/>
      </xdr:nvSpPr>
      <xdr:spPr>
        <a:xfrm>
          <a:off x="1657350" y="527050"/>
          <a:ext cx="1543050" cy="228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rPr>
            <a:t>Total</a:t>
          </a:r>
          <a:r>
            <a:rPr lang="en-IN" sz="1400" b="1" baseline="0">
              <a:solidFill>
                <a:schemeClr val="accent2">
                  <a:lumMod val="50000"/>
                </a:schemeClr>
              </a:solidFill>
            </a:rPr>
            <a:t> Revenue</a:t>
          </a:r>
          <a:endParaRPr lang="en-IN" sz="1400" b="1">
            <a:solidFill>
              <a:schemeClr val="accent2">
                <a:lumMod val="50000"/>
              </a:schemeClr>
            </a:solidFill>
          </a:endParaRPr>
        </a:p>
        <a:p>
          <a:endParaRPr lang="en-IN" sz="1400" b="1">
            <a:solidFill>
              <a:schemeClr val="accent2">
                <a:lumMod val="50000"/>
              </a:schemeClr>
            </a:solidFill>
          </a:endParaRPr>
        </a:p>
      </xdr:txBody>
    </xdr:sp>
    <xdr:clientData/>
  </xdr:twoCellAnchor>
  <xdr:twoCellAnchor>
    <xdr:from>
      <xdr:col>5</xdr:col>
      <xdr:colOff>12700</xdr:colOff>
      <xdr:row>3</xdr:row>
      <xdr:rowOff>12700</xdr:rowOff>
    </xdr:from>
    <xdr:to>
      <xdr:col>6</xdr:col>
      <xdr:colOff>514350</xdr:colOff>
      <xdr:row>5</xdr:row>
      <xdr:rowOff>171700</xdr:rowOff>
    </xdr:to>
    <xdr:sp macro="" textlink="">
      <xdr:nvSpPr>
        <xdr:cNvPr id="16" name="Rectangle: Rounded Corners 15">
          <a:extLst>
            <a:ext uri="{FF2B5EF4-FFF2-40B4-BE49-F238E27FC236}">
              <a16:creationId xmlns:a16="http://schemas.microsoft.com/office/drawing/2014/main" id="{4B0B4C4B-C855-465C-8AF6-31EBFB2DE5EF}"/>
            </a:ext>
          </a:extLst>
        </xdr:cNvPr>
        <xdr:cNvSpPr/>
      </xdr:nvSpPr>
      <xdr:spPr>
        <a:xfrm>
          <a:off x="3060700" y="565150"/>
          <a:ext cx="1111250" cy="54000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63500</xdr:colOff>
      <xdr:row>2</xdr:row>
      <xdr:rowOff>177800</xdr:rowOff>
    </xdr:from>
    <xdr:to>
      <xdr:col>7</xdr:col>
      <xdr:colOff>336550</xdr:colOff>
      <xdr:row>4</xdr:row>
      <xdr:rowOff>38100</xdr:rowOff>
    </xdr:to>
    <xdr:sp macro="" textlink="">
      <xdr:nvSpPr>
        <xdr:cNvPr id="45" name="TextBox 44">
          <a:extLst>
            <a:ext uri="{FF2B5EF4-FFF2-40B4-BE49-F238E27FC236}">
              <a16:creationId xmlns:a16="http://schemas.microsoft.com/office/drawing/2014/main" id="{64E486B1-2F0A-1AF1-8C2B-465579C3465E}"/>
            </a:ext>
          </a:extLst>
        </xdr:cNvPr>
        <xdr:cNvSpPr txBox="1"/>
      </xdr:nvSpPr>
      <xdr:spPr>
        <a:xfrm>
          <a:off x="3111500" y="546100"/>
          <a:ext cx="1492250" cy="228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rPr>
            <a:t>Total Leads</a:t>
          </a:r>
        </a:p>
      </xdr:txBody>
    </xdr:sp>
    <xdr:clientData/>
  </xdr:twoCellAnchor>
  <xdr:twoCellAnchor>
    <xdr:from>
      <xdr:col>7</xdr:col>
      <xdr:colOff>44450</xdr:colOff>
      <xdr:row>3</xdr:row>
      <xdr:rowOff>12700</xdr:rowOff>
    </xdr:from>
    <xdr:to>
      <xdr:col>9</xdr:col>
      <xdr:colOff>311150</xdr:colOff>
      <xdr:row>5</xdr:row>
      <xdr:rowOff>171450</xdr:rowOff>
    </xdr:to>
    <xdr:sp macro="" textlink="">
      <xdr:nvSpPr>
        <xdr:cNvPr id="47" name="Rectangle: Rounded Corners 46">
          <a:extLst>
            <a:ext uri="{FF2B5EF4-FFF2-40B4-BE49-F238E27FC236}">
              <a16:creationId xmlns:a16="http://schemas.microsoft.com/office/drawing/2014/main" id="{28357BC4-F969-4608-B374-082710C4E3D1}"/>
            </a:ext>
          </a:extLst>
        </xdr:cNvPr>
        <xdr:cNvSpPr/>
      </xdr:nvSpPr>
      <xdr:spPr>
        <a:xfrm>
          <a:off x="4311650" y="565150"/>
          <a:ext cx="1485900" cy="53975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rgbClr val="C0504D">
                <a:lumMod val="50000"/>
              </a:srgbClr>
            </a:solidFill>
            <a:effectLst/>
            <a:uLnTx/>
            <a:uFillTx/>
            <a:latin typeface="+mn-lt"/>
            <a:ea typeface="+mn-ea"/>
            <a:cs typeface="+mn-cs"/>
          </a:endParaRPr>
        </a:p>
        <a:p>
          <a:pPr algn="l"/>
          <a:endParaRPr lang="en-IN" sz="1100"/>
        </a:p>
      </xdr:txBody>
    </xdr:sp>
    <xdr:clientData/>
  </xdr:twoCellAnchor>
  <xdr:twoCellAnchor>
    <xdr:from>
      <xdr:col>7</xdr:col>
      <xdr:colOff>38100</xdr:colOff>
      <xdr:row>2</xdr:row>
      <xdr:rowOff>165100</xdr:rowOff>
    </xdr:from>
    <xdr:to>
      <xdr:col>9</xdr:col>
      <xdr:colOff>349250</xdr:colOff>
      <xdr:row>4</xdr:row>
      <xdr:rowOff>31750</xdr:rowOff>
    </xdr:to>
    <xdr:sp macro="" textlink="">
      <xdr:nvSpPr>
        <xdr:cNvPr id="48" name="TextBox 47">
          <a:extLst>
            <a:ext uri="{FF2B5EF4-FFF2-40B4-BE49-F238E27FC236}">
              <a16:creationId xmlns:a16="http://schemas.microsoft.com/office/drawing/2014/main" id="{BCCBE51F-2AB2-3DCA-0733-292B45C5889E}"/>
            </a:ext>
          </a:extLst>
        </xdr:cNvPr>
        <xdr:cNvSpPr txBox="1"/>
      </xdr:nvSpPr>
      <xdr:spPr>
        <a:xfrm>
          <a:off x="4305300" y="533400"/>
          <a:ext cx="1530350" cy="2349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rPr>
            <a:t>Total Conversions</a:t>
          </a:r>
        </a:p>
        <a:p>
          <a:endParaRPr lang="en-IN" sz="1400" b="1">
            <a:solidFill>
              <a:schemeClr val="accent2">
                <a:lumMod val="50000"/>
              </a:schemeClr>
            </a:solidFill>
          </a:endParaRPr>
        </a:p>
      </xdr:txBody>
    </xdr:sp>
    <xdr:clientData/>
  </xdr:twoCellAnchor>
  <xdr:twoCellAnchor>
    <xdr:from>
      <xdr:col>5</xdr:col>
      <xdr:colOff>266700</xdr:colOff>
      <xdr:row>4</xdr:row>
      <xdr:rowOff>57150</xdr:rowOff>
    </xdr:from>
    <xdr:to>
      <xdr:col>7</xdr:col>
      <xdr:colOff>107950</xdr:colOff>
      <xdr:row>5</xdr:row>
      <xdr:rowOff>88900</xdr:rowOff>
    </xdr:to>
    <xdr:sp macro="" textlink="Pivot_Tables!A13">
      <xdr:nvSpPr>
        <xdr:cNvPr id="7" name="TextBox 6">
          <a:extLst>
            <a:ext uri="{FF2B5EF4-FFF2-40B4-BE49-F238E27FC236}">
              <a16:creationId xmlns:a16="http://schemas.microsoft.com/office/drawing/2014/main" id="{D02D29D5-A258-97B4-02AF-5F9D2ECC39E7}"/>
            </a:ext>
          </a:extLst>
        </xdr:cNvPr>
        <xdr:cNvSpPr txBox="1"/>
      </xdr:nvSpPr>
      <xdr:spPr>
        <a:xfrm>
          <a:off x="3314700" y="793750"/>
          <a:ext cx="1060450" cy="2286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BE9963-ACC5-48C1-93D8-4FE9B81CDF8D}" type="TxLink">
            <a:rPr lang="en-US" sz="1200" b="1" i="0" u="none" strike="noStrike">
              <a:solidFill>
                <a:srgbClr val="000000"/>
              </a:solidFill>
              <a:latin typeface="Calibri"/>
              <a:ea typeface="Calibri"/>
              <a:cs typeface="Calibri"/>
            </a:rPr>
            <a:pPr/>
            <a:t>30635</a:t>
          </a:fld>
          <a:endParaRPr lang="en-IN" sz="1100"/>
        </a:p>
      </xdr:txBody>
    </xdr:sp>
    <xdr:clientData/>
  </xdr:twoCellAnchor>
  <xdr:twoCellAnchor>
    <xdr:from>
      <xdr:col>7</xdr:col>
      <xdr:colOff>508000</xdr:colOff>
      <xdr:row>4</xdr:row>
      <xdr:rowOff>50800</xdr:rowOff>
    </xdr:from>
    <xdr:to>
      <xdr:col>9</xdr:col>
      <xdr:colOff>152400</xdr:colOff>
      <xdr:row>5</xdr:row>
      <xdr:rowOff>88900</xdr:rowOff>
    </xdr:to>
    <xdr:sp macro="" textlink="Pivot_Tables!A10">
      <xdr:nvSpPr>
        <xdr:cNvPr id="8" name="TextBox 7">
          <a:extLst>
            <a:ext uri="{FF2B5EF4-FFF2-40B4-BE49-F238E27FC236}">
              <a16:creationId xmlns:a16="http://schemas.microsoft.com/office/drawing/2014/main" id="{720FC484-275E-07AF-D019-ABCE149EDF2E}"/>
            </a:ext>
          </a:extLst>
        </xdr:cNvPr>
        <xdr:cNvSpPr txBox="1"/>
      </xdr:nvSpPr>
      <xdr:spPr>
        <a:xfrm>
          <a:off x="4775200" y="787400"/>
          <a:ext cx="863600" cy="2349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0FD740-DF87-410E-A4B6-8882B72377D0}" type="TxLink">
            <a:rPr lang="en-US" sz="1200" b="1" i="0" u="none" strike="noStrike">
              <a:solidFill>
                <a:srgbClr val="000000"/>
              </a:solidFill>
              <a:latin typeface="Calibri"/>
              <a:ea typeface="Calibri"/>
              <a:cs typeface="Calibri"/>
            </a:rPr>
            <a:pPr/>
            <a:t>9816</a:t>
          </a:fld>
          <a:endParaRPr lang="en-IN" sz="1100"/>
        </a:p>
      </xdr:txBody>
    </xdr:sp>
    <xdr:clientData/>
  </xdr:twoCellAnchor>
  <xdr:twoCellAnchor>
    <xdr:from>
      <xdr:col>9</xdr:col>
      <xdr:colOff>450850</xdr:colOff>
      <xdr:row>3</xdr:row>
      <xdr:rowOff>12700</xdr:rowOff>
    </xdr:from>
    <xdr:to>
      <xdr:col>11</xdr:col>
      <xdr:colOff>590550</xdr:colOff>
      <xdr:row>5</xdr:row>
      <xdr:rowOff>171700</xdr:rowOff>
    </xdr:to>
    <xdr:sp macro="" textlink="">
      <xdr:nvSpPr>
        <xdr:cNvPr id="20" name="Rectangle: Rounded Corners 19">
          <a:extLst>
            <a:ext uri="{FF2B5EF4-FFF2-40B4-BE49-F238E27FC236}">
              <a16:creationId xmlns:a16="http://schemas.microsoft.com/office/drawing/2014/main" id="{B6487483-9D5E-4096-9B83-50CDF77FA030}"/>
            </a:ext>
          </a:extLst>
        </xdr:cNvPr>
        <xdr:cNvSpPr/>
      </xdr:nvSpPr>
      <xdr:spPr>
        <a:xfrm>
          <a:off x="5937250" y="565150"/>
          <a:ext cx="1358900" cy="54000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rgbClr val="C0504D">
                <a:lumMod val="50000"/>
              </a:srgbClr>
            </a:solidFill>
            <a:effectLst/>
            <a:uLnTx/>
            <a:uFillTx/>
            <a:latin typeface="+mn-lt"/>
            <a:ea typeface="+mn-ea"/>
            <a:cs typeface="+mn-cs"/>
          </a:endParaRPr>
        </a:p>
        <a:p>
          <a:pPr algn="l"/>
          <a:endParaRPr lang="en-IN" sz="1100"/>
        </a:p>
      </xdr:txBody>
    </xdr:sp>
    <xdr:clientData/>
  </xdr:twoCellAnchor>
  <xdr:twoCellAnchor>
    <xdr:from>
      <xdr:col>9</xdr:col>
      <xdr:colOff>457200</xdr:colOff>
      <xdr:row>2</xdr:row>
      <xdr:rowOff>165100</xdr:rowOff>
    </xdr:from>
    <xdr:to>
      <xdr:col>12</xdr:col>
      <xdr:colOff>228600</xdr:colOff>
      <xdr:row>4</xdr:row>
      <xdr:rowOff>69850</xdr:rowOff>
    </xdr:to>
    <xdr:sp macro="" textlink="">
      <xdr:nvSpPr>
        <xdr:cNvPr id="23" name="TextBox 22">
          <a:extLst>
            <a:ext uri="{FF2B5EF4-FFF2-40B4-BE49-F238E27FC236}">
              <a16:creationId xmlns:a16="http://schemas.microsoft.com/office/drawing/2014/main" id="{E88CF58E-0ECF-5E21-5BBF-7BE4EDDA1376}"/>
            </a:ext>
          </a:extLst>
        </xdr:cNvPr>
        <xdr:cNvSpPr txBox="1"/>
      </xdr:nvSpPr>
      <xdr:spPr>
        <a:xfrm>
          <a:off x="5943600" y="533400"/>
          <a:ext cx="1600200" cy="2730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rPr>
            <a:t>Conversion</a:t>
          </a:r>
          <a:r>
            <a:rPr lang="en-IN" sz="1400" b="1" baseline="0">
              <a:solidFill>
                <a:schemeClr val="accent2">
                  <a:lumMod val="50000"/>
                </a:schemeClr>
              </a:solidFill>
            </a:rPr>
            <a:t> Rate</a:t>
          </a:r>
        </a:p>
        <a:p>
          <a:endParaRPr lang="en-IN" sz="1400" b="1">
            <a:solidFill>
              <a:schemeClr val="accent2">
                <a:lumMod val="50000"/>
              </a:schemeClr>
            </a:solidFill>
          </a:endParaRPr>
        </a:p>
      </xdr:txBody>
    </xdr:sp>
    <xdr:clientData/>
  </xdr:twoCellAnchor>
  <xdr:twoCellAnchor>
    <xdr:from>
      <xdr:col>10</xdr:col>
      <xdr:colOff>203200</xdr:colOff>
      <xdr:row>4</xdr:row>
      <xdr:rowOff>57150</xdr:rowOff>
    </xdr:from>
    <xdr:to>
      <xdr:col>11</xdr:col>
      <xdr:colOff>419100</xdr:colOff>
      <xdr:row>5</xdr:row>
      <xdr:rowOff>133350</xdr:rowOff>
    </xdr:to>
    <xdr:sp macro="" textlink="Pivot_Tables!A16">
      <xdr:nvSpPr>
        <xdr:cNvPr id="24" name="TextBox 23">
          <a:extLst>
            <a:ext uri="{FF2B5EF4-FFF2-40B4-BE49-F238E27FC236}">
              <a16:creationId xmlns:a16="http://schemas.microsoft.com/office/drawing/2014/main" id="{07C3C171-29DE-47DF-4A78-D1CE6BD4CB51}"/>
            </a:ext>
          </a:extLst>
        </xdr:cNvPr>
        <xdr:cNvSpPr txBox="1"/>
      </xdr:nvSpPr>
      <xdr:spPr>
        <a:xfrm>
          <a:off x="6299200" y="793750"/>
          <a:ext cx="825500" cy="2730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ED1CB9-C00D-404E-8736-9B677C157075}" type="TxLink">
            <a:rPr lang="en-US" sz="1200" b="1" i="0" u="none" strike="noStrike">
              <a:solidFill>
                <a:srgbClr val="000000"/>
              </a:solidFill>
              <a:latin typeface="Calibri"/>
              <a:ea typeface="Calibri"/>
              <a:cs typeface="Calibri"/>
            </a:rPr>
            <a:pPr/>
            <a:t>153.95</a:t>
          </a:fld>
          <a:endParaRPr lang="en-IN" sz="1100"/>
        </a:p>
      </xdr:txBody>
    </xdr:sp>
    <xdr:clientData/>
  </xdr:twoCellAnchor>
  <xdr:twoCellAnchor>
    <xdr:from>
      <xdr:col>3</xdr:col>
      <xdr:colOff>88900</xdr:colOff>
      <xdr:row>4</xdr:row>
      <xdr:rowOff>57150</xdr:rowOff>
    </xdr:from>
    <xdr:to>
      <xdr:col>4</xdr:col>
      <xdr:colOff>431800</xdr:colOff>
      <xdr:row>5</xdr:row>
      <xdr:rowOff>165100</xdr:rowOff>
    </xdr:to>
    <xdr:sp macro="" textlink="Pivot_Tables!A4">
      <xdr:nvSpPr>
        <xdr:cNvPr id="17" name="TextBox 16">
          <a:extLst>
            <a:ext uri="{FF2B5EF4-FFF2-40B4-BE49-F238E27FC236}">
              <a16:creationId xmlns:a16="http://schemas.microsoft.com/office/drawing/2014/main" id="{6DB0B081-BD47-1F52-3670-9D49069ECC6F}"/>
            </a:ext>
          </a:extLst>
        </xdr:cNvPr>
        <xdr:cNvSpPr txBox="1"/>
      </xdr:nvSpPr>
      <xdr:spPr>
        <a:xfrm>
          <a:off x="1917700" y="793750"/>
          <a:ext cx="952500" cy="3048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525336-FA2C-428B-8F0E-01722B1C84F1}" type="TxLink">
            <a:rPr lang="en-US" sz="1200" b="1" i="0" u="none" strike="noStrike">
              <a:solidFill>
                <a:srgbClr val="000000"/>
              </a:solidFill>
              <a:latin typeface="Calibri"/>
              <a:ea typeface="Calibri"/>
              <a:cs typeface="Calibri"/>
            </a:rPr>
            <a:pPr/>
            <a:t>490800</a:t>
          </a:fld>
          <a:endParaRPr lang="en-US" sz="1100"/>
        </a:p>
      </xdr:txBody>
    </xdr:sp>
    <xdr:clientData/>
  </xdr:twoCellAnchor>
  <xdr:twoCellAnchor editAs="oneCell">
    <xdr:from>
      <xdr:col>17</xdr:col>
      <xdr:colOff>38100</xdr:colOff>
      <xdr:row>10</xdr:row>
      <xdr:rowOff>133350</xdr:rowOff>
    </xdr:from>
    <xdr:to>
      <xdr:col>19</xdr:col>
      <xdr:colOff>355600</xdr:colOff>
      <xdr:row>19</xdr:row>
      <xdr:rowOff>127000</xdr:rowOff>
    </xdr:to>
    <mc:AlternateContent xmlns:mc="http://schemas.openxmlformats.org/markup-compatibility/2006" xmlns:a14="http://schemas.microsoft.com/office/drawing/2010/main">
      <mc:Choice Requires="a14">
        <xdr:graphicFrame macro="">
          <xdr:nvGraphicFramePr>
            <xdr:cNvPr id="21" name="Channel 1">
              <a:extLst>
                <a:ext uri="{FF2B5EF4-FFF2-40B4-BE49-F238E27FC236}">
                  <a16:creationId xmlns:a16="http://schemas.microsoft.com/office/drawing/2014/main" id="{EE55D52D-B48C-4F8D-9DD4-659DDB852D3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401300" y="2000250"/>
              <a:ext cx="1536700" cy="1651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527050</xdr:colOff>
      <xdr:row>4</xdr:row>
      <xdr:rowOff>57150</xdr:rowOff>
    </xdr:from>
    <xdr:to>
      <xdr:col>2</xdr:col>
      <xdr:colOff>298450</xdr:colOff>
      <xdr:row>5</xdr:row>
      <xdr:rowOff>133350</xdr:rowOff>
    </xdr:to>
    <xdr:sp macro="" textlink="Pivot_Tables!A7">
      <xdr:nvSpPr>
        <xdr:cNvPr id="3" name="TextBox 2">
          <a:extLst>
            <a:ext uri="{FF2B5EF4-FFF2-40B4-BE49-F238E27FC236}">
              <a16:creationId xmlns:a16="http://schemas.microsoft.com/office/drawing/2014/main" id="{F6533065-D1A9-13C0-C766-7E00C0AD1C8C}"/>
            </a:ext>
          </a:extLst>
        </xdr:cNvPr>
        <xdr:cNvSpPr txBox="1"/>
      </xdr:nvSpPr>
      <xdr:spPr>
        <a:xfrm>
          <a:off x="527050" y="793750"/>
          <a:ext cx="990600" cy="2730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2C3E28-90A8-498D-B630-A6C86E77E8C0}" type="TxLink">
            <a:rPr lang="en-US" sz="1200" b="1" i="0" u="none" strike="noStrike">
              <a:solidFill>
                <a:srgbClr val="000000"/>
              </a:solidFill>
              <a:latin typeface="Calibri"/>
              <a:ea typeface="Calibri"/>
              <a:cs typeface="Calibri"/>
            </a:rPr>
            <a:pPr/>
            <a:t>368883</a:t>
          </a:fld>
          <a:endParaRPr lang="en-IN" sz="1100"/>
        </a:p>
      </xdr:txBody>
    </xdr:sp>
    <xdr:clientData/>
  </xdr:twoCellAnchor>
  <xdr:twoCellAnchor>
    <xdr:from>
      <xdr:col>12</xdr:col>
      <xdr:colOff>120650</xdr:colOff>
      <xdr:row>3</xdr:row>
      <xdr:rowOff>12700</xdr:rowOff>
    </xdr:from>
    <xdr:to>
      <xdr:col>13</xdr:col>
      <xdr:colOff>406400</xdr:colOff>
      <xdr:row>5</xdr:row>
      <xdr:rowOff>171700</xdr:rowOff>
    </xdr:to>
    <xdr:sp macro="" textlink="">
      <xdr:nvSpPr>
        <xdr:cNvPr id="6" name="Rectangle: Rounded Corners 5">
          <a:extLst>
            <a:ext uri="{FF2B5EF4-FFF2-40B4-BE49-F238E27FC236}">
              <a16:creationId xmlns:a16="http://schemas.microsoft.com/office/drawing/2014/main" id="{B21481B7-5355-4BF4-8405-80864EA29F42}"/>
            </a:ext>
          </a:extLst>
        </xdr:cNvPr>
        <xdr:cNvSpPr/>
      </xdr:nvSpPr>
      <xdr:spPr>
        <a:xfrm>
          <a:off x="7435850" y="565150"/>
          <a:ext cx="895350" cy="54000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rgbClr val="C0504D">
                <a:lumMod val="50000"/>
              </a:srgbClr>
            </a:solidFill>
            <a:effectLst/>
            <a:uLnTx/>
            <a:uFillTx/>
            <a:latin typeface="+mn-lt"/>
            <a:ea typeface="+mn-ea"/>
            <a:cs typeface="+mn-cs"/>
          </a:endParaRPr>
        </a:p>
        <a:p>
          <a:pPr algn="l"/>
          <a:endParaRPr lang="en-IN" sz="1100"/>
        </a:p>
      </xdr:txBody>
    </xdr:sp>
    <xdr:clientData/>
  </xdr:twoCellAnchor>
  <xdr:twoCellAnchor>
    <xdr:from>
      <xdr:col>12</xdr:col>
      <xdr:colOff>247650</xdr:colOff>
      <xdr:row>3</xdr:row>
      <xdr:rowOff>0</xdr:rowOff>
    </xdr:from>
    <xdr:to>
      <xdr:col>14</xdr:col>
      <xdr:colOff>215900</xdr:colOff>
      <xdr:row>4</xdr:row>
      <xdr:rowOff>57150</xdr:rowOff>
    </xdr:to>
    <xdr:sp macro="" textlink="">
      <xdr:nvSpPr>
        <xdr:cNvPr id="22" name="TextBox 21">
          <a:extLst>
            <a:ext uri="{FF2B5EF4-FFF2-40B4-BE49-F238E27FC236}">
              <a16:creationId xmlns:a16="http://schemas.microsoft.com/office/drawing/2014/main" id="{68E7EE50-650A-890C-492C-326D8CB83E4D}"/>
            </a:ext>
          </a:extLst>
        </xdr:cNvPr>
        <xdr:cNvSpPr txBox="1"/>
      </xdr:nvSpPr>
      <xdr:spPr>
        <a:xfrm>
          <a:off x="7562850" y="552450"/>
          <a:ext cx="1187450" cy="2413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rPr>
            <a:t>ROAS</a:t>
          </a:r>
        </a:p>
      </xdr:txBody>
    </xdr:sp>
    <xdr:clientData/>
  </xdr:twoCellAnchor>
  <xdr:oneCellAnchor>
    <xdr:from>
      <xdr:col>12</xdr:col>
      <xdr:colOff>260931</xdr:colOff>
      <xdr:row>4</xdr:row>
      <xdr:rowOff>69850</xdr:rowOff>
    </xdr:from>
    <xdr:ext cx="977319" cy="280205"/>
    <xdr:sp macro="" textlink="Pivot_Tables!A19">
      <xdr:nvSpPr>
        <xdr:cNvPr id="25" name="TextBox 24">
          <a:extLst>
            <a:ext uri="{FF2B5EF4-FFF2-40B4-BE49-F238E27FC236}">
              <a16:creationId xmlns:a16="http://schemas.microsoft.com/office/drawing/2014/main" id="{A2705EDD-1E3E-7FAF-3397-656ACCCA9495}"/>
            </a:ext>
          </a:extLst>
        </xdr:cNvPr>
        <xdr:cNvSpPr txBox="1"/>
      </xdr:nvSpPr>
      <xdr:spPr>
        <a:xfrm flipH="1">
          <a:off x="7576131" y="806450"/>
          <a:ext cx="97731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4FDBFE4-45A7-4C1A-A645-B47442027D91}" type="TxLink">
            <a:rPr lang="en-US" sz="1200" b="1" i="0" u="none" strike="noStrike">
              <a:solidFill>
                <a:srgbClr val="000000"/>
              </a:solidFill>
              <a:latin typeface="Calibri"/>
              <a:ea typeface="Calibri"/>
              <a:cs typeface="Calibri"/>
            </a:rPr>
            <a:pPr/>
            <a:t>806.52</a:t>
          </a:fld>
          <a:endParaRPr lang="en-IN" sz="1100"/>
        </a:p>
      </xdr:txBody>
    </xdr:sp>
    <xdr:clientData/>
  </xdr:oneCellAnchor>
  <xdr:twoCellAnchor>
    <xdr:from>
      <xdr:col>0</xdr:col>
      <xdr:colOff>127000</xdr:colOff>
      <xdr:row>6</xdr:row>
      <xdr:rowOff>88900</xdr:rowOff>
    </xdr:from>
    <xdr:to>
      <xdr:col>6</xdr:col>
      <xdr:colOff>82550</xdr:colOff>
      <xdr:row>19</xdr:row>
      <xdr:rowOff>152400</xdr:rowOff>
    </xdr:to>
    <xdr:graphicFrame macro="">
      <xdr:nvGraphicFramePr>
        <xdr:cNvPr id="26" name="Chart 25">
          <a:extLst>
            <a:ext uri="{FF2B5EF4-FFF2-40B4-BE49-F238E27FC236}">
              <a16:creationId xmlns:a16="http://schemas.microsoft.com/office/drawing/2014/main" id="{9F94533E-DB6E-468B-94A1-9FF9D7424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184150</xdr:colOff>
      <xdr:row>6</xdr:row>
      <xdr:rowOff>82550</xdr:rowOff>
    </xdr:from>
    <xdr:to>
      <xdr:col>12</xdr:col>
      <xdr:colOff>190500</xdr:colOff>
      <xdr:row>19</xdr:row>
      <xdr:rowOff>152400</xdr:rowOff>
    </xdr:to>
    <xdr:graphicFrame macro="">
      <xdr:nvGraphicFramePr>
        <xdr:cNvPr id="27" name="Chart 26">
          <a:extLst>
            <a:ext uri="{FF2B5EF4-FFF2-40B4-BE49-F238E27FC236}">
              <a16:creationId xmlns:a16="http://schemas.microsoft.com/office/drawing/2014/main" id="{FCA21682-3D23-4D50-97CC-CEAA579BA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101600</xdr:colOff>
      <xdr:row>20</xdr:row>
      <xdr:rowOff>50800</xdr:rowOff>
    </xdr:from>
    <xdr:to>
      <xdr:col>13</xdr:col>
      <xdr:colOff>206375</xdr:colOff>
      <xdr:row>33</xdr:row>
      <xdr:rowOff>69850</xdr:rowOff>
    </xdr:to>
    <xdr:graphicFrame macro="">
      <xdr:nvGraphicFramePr>
        <xdr:cNvPr id="28" name="Chart 27">
          <a:extLst>
            <a:ext uri="{FF2B5EF4-FFF2-40B4-BE49-F238E27FC236}">
              <a16:creationId xmlns:a16="http://schemas.microsoft.com/office/drawing/2014/main" id="{128CC2A1-A776-492A-9A4E-C9E701D4D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20</xdr:row>
      <xdr:rowOff>44450</xdr:rowOff>
    </xdr:from>
    <xdr:to>
      <xdr:col>7</xdr:col>
      <xdr:colOff>571500</xdr:colOff>
      <xdr:row>33</xdr:row>
      <xdr:rowOff>63500</xdr:rowOff>
    </xdr:to>
    <xdr:graphicFrame macro="">
      <xdr:nvGraphicFramePr>
        <xdr:cNvPr id="29" name="Chart 28">
          <a:extLst>
            <a:ext uri="{FF2B5EF4-FFF2-40B4-BE49-F238E27FC236}">
              <a16:creationId xmlns:a16="http://schemas.microsoft.com/office/drawing/2014/main" id="{C50BB3DA-3F65-4A34-94C3-947ADA701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292100</xdr:colOff>
      <xdr:row>6</xdr:row>
      <xdr:rowOff>76200</xdr:rowOff>
    </xdr:from>
    <xdr:to>
      <xdr:col>16</xdr:col>
      <xdr:colOff>571499</xdr:colOff>
      <xdr:row>19</xdr:row>
      <xdr:rowOff>165100</xdr:rowOff>
    </xdr:to>
    <xdr:graphicFrame macro="">
      <xdr:nvGraphicFramePr>
        <xdr:cNvPr id="30" name="Chart 29">
          <a:extLst>
            <a:ext uri="{FF2B5EF4-FFF2-40B4-BE49-F238E27FC236}">
              <a16:creationId xmlns:a16="http://schemas.microsoft.com/office/drawing/2014/main" id="{5986E061-8B50-4D0E-92DC-4348446CA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311150</xdr:colOff>
      <xdr:row>20</xdr:row>
      <xdr:rowOff>50800</xdr:rowOff>
    </xdr:from>
    <xdr:to>
      <xdr:col>19</xdr:col>
      <xdr:colOff>381000</xdr:colOff>
      <xdr:row>33</xdr:row>
      <xdr:rowOff>38100</xdr:rowOff>
    </xdr:to>
    <xdr:graphicFrame macro="">
      <xdr:nvGraphicFramePr>
        <xdr:cNvPr id="31" name="Chart 30">
          <a:extLst>
            <a:ext uri="{FF2B5EF4-FFF2-40B4-BE49-F238E27FC236}">
              <a16:creationId xmlns:a16="http://schemas.microsoft.com/office/drawing/2014/main" id="{DCCE86CF-3EE0-4130-8151-3D573640BE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38100</xdr:colOff>
      <xdr:row>3</xdr:row>
      <xdr:rowOff>6352</xdr:rowOff>
    </xdr:from>
    <xdr:to>
      <xdr:col>19</xdr:col>
      <xdr:colOff>368300</xdr:colOff>
      <xdr:row>10</xdr:row>
      <xdr:rowOff>38100</xdr:rowOff>
    </xdr:to>
    <mc:AlternateContent xmlns:mc="http://schemas.openxmlformats.org/markup-compatibility/2006" xmlns:a14="http://schemas.microsoft.com/office/drawing/2010/main">
      <mc:Choice Requires="a14">
        <xdr:graphicFrame macro="">
          <xdr:nvGraphicFramePr>
            <xdr:cNvPr id="33" name="Months">
              <a:extLst>
                <a:ext uri="{FF2B5EF4-FFF2-40B4-BE49-F238E27FC236}">
                  <a16:creationId xmlns:a16="http://schemas.microsoft.com/office/drawing/2014/main" id="{FA48E48F-8966-469D-A93D-9747A6EC730D}"/>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0401300" y="558802"/>
              <a:ext cx="1549400" cy="1346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571500</xdr:colOff>
      <xdr:row>3</xdr:row>
      <xdr:rowOff>19050</xdr:rowOff>
    </xdr:from>
    <xdr:to>
      <xdr:col>15</xdr:col>
      <xdr:colOff>190500</xdr:colOff>
      <xdr:row>5</xdr:row>
      <xdr:rowOff>178050</xdr:rowOff>
    </xdr:to>
    <xdr:sp macro="" textlink="">
      <xdr:nvSpPr>
        <xdr:cNvPr id="4" name="Rectangle: Rounded Corners 3">
          <a:extLst>
            <a:ext uri="{FF2B5EF4-FFF2-40B4-BE49-F238E27FC236}">
              <a16:creationId xmlns:a16="http://schemas.microsoft.com/office/drawing/2014/main" id="{AFC99D8F-90B1-4D20-B835-57D42192BD82}"/>
            </a:ext>
          </a:extLst>
        </xdr:cNvPr>
        <xdr:cNvSpPr/>
      </xdr:nvSpPr>
      <xdr:spPr>
        <a:xfrm>
          <a:off x="8496300" y="571500"/>
          <a:ext cx="838200" cy="54000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rgbClr val="C0504D">
                <a:lumMod val="50000"/>
              </a:srgbClr>
            </a:solidFill>
            <a:effectLst/>
            <a:uLnTx/>
            <a:uFillTx/>
            <a:latin typeface="+mn-lt"/>
            <a:ea typeface="+mn-ea"/>
            <a:cs typeface="+mn-cs"/>
          </a:endParaRPr>
        </a:p>
        <a:p>
          <a:pPr algn="l"/>
          <a:endParaRPr lang="en-IN" sz="1100"/>
        </a:p>
      </xdr:txBody>
    </xdr:sp>
    <xdr:clientData/>
  </xdr:twoCellAnchor>
  <xdr:twoCellAnchor>
    <xdr:from>
      <xdr:col>15</xdr:col>
      <xdr:colOff>323850</xdr:colOff>
      <xdr:row>3</xdr:row>
      <xdr:rowOff>6350</xdr:rowOff>
    </xdr:from>
    <xdr:to>
      <xdr:col>16</xdr:col>
      <xdr:colOff>552450</xdr:colOff>
      <xdr:row>5</xdr:row>
      <xdr:rowOff>165350</xdr:rowOff>
    </xdr:to>
    <xdr:sp macro="" textlink="">
      <xdr:nvSpPr>
        <xdr:cNvPr id="10" name="Rectangle: Rounded Corners 9">
          <a:extLst>
            <a:ext uri="{FF2B5EF4-FFF2-40B4-BE49-F238E27FC236}">
              <a16:creationId xmlns:a16="http://schemas.microsoft.com/office/drawing/2014/main" id="{25A67C80-D66D-4F8E-BD10-CD43B0686160}"/>
            </a:ext>
          </a:extLst>
        </xdr:cNvPr>
        <xdr:cNvSpPr/>
      </xdr:nvSpPr>
      <xdr:spPr>
        <a:xfrm>
          <a:off x="9467850" y="558800"/>
          <a:ext cx="838200" cy="540000"/>
        </a:xfrm>
        <a:prstGeom prst="roundRect">
          <a:avLst/>
        </a:prstGeom>
        <a:solidFill>
          <a:schemeClr val="accent1">
            <a:alpha val="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endParaRPr kumimoji="0" lang="en-IN" sz="1400" b="1" i="0" u="none" strike="noStrike" kern="0" cap="none" spc="0" normalizeH="0" baseline="0" noProof="0">
            <a:ln>
              <a:noFill/>
            </a:ln>
            <a:solidFill>
              <a:srgbClr val="C0504D">
                <a:lumMod val="50000"/>
              </a:srgbClr>
            </a:solidFill>
            <a:effectLst/>
            <a:uLnTx/>
            <a:uFillTx/>
            <a:latin typeface="+mn-lt"/>
            <a:ea typeface="+mn-ea"/>
            <a:cs typeface="+mn-cs"/>
          </a:endParaRPr>
        </a:p>
        <a:p>
          <a:pPr algn="l"/>
          <a:endParaRPr lang="en-IN" sz="1100"/>
        </a:p>
      </xdr:txBody>
    </xdr:sp>
    <xdr:clientData/>
  </xdr:twoCellAnchor>
  <xdr:twoCellAnchor>
    <xdr:from>
      <xdr:col>14</xdr:col>
      <xdr:colOff>139700</xdr:colOff>
      <xdr:row>2</xdr:row>
      <xdr:rowOff>165100</xdr:rowOff>
    </xdr:from>
    <xdr:to>
      <xdr:col>15</xdr:col>
      <xdr:colOff>222250</xdr:colOff>
      <xdr:row>4</xdr:row>
      <xdr:rowOff>12700</xdr:rowOff>
    </xdr:to>
    <xdr:sp macro="" textlink="">
      <xdr:nvSpPr>
        <xdr:cNvPr id="11" name="TextBox 10">
          <a:extLst>
            <a:ext uri="{FF2B5EF4-FFF2-40B4-BE49-F238E27FC236}">
              <a16:creationId xmlns:a16="http://schemas.microsoft.com/office/drawing/2014/main" id="{5B45248D-1310-3AE2-8683-67568C06B540}"/>
            </a:ext>
          </a:extLst>
        </xdr:cNvPr>
        <xdr:cNvSpPr txBox="1"/>
      </xdr:nvSpPr>
      <xdr:spPr>
        <a:xfrm>
          <a:off x="8674100" y="533400"/>
          <a:ext cx="692150" cy="2159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rPr>
            <a:t>CPL</a:t>
          </a:r>
        </a:p>
      </xdr:txBody>
    </xdr:sp>
    <xdr:clientData/>
  </xdr:twoCellAnchor>
  <xdr:twoCellAnchor>
    <xdr:from>
      <xdr:col>14</xdr:col>
      <xdr:colOff>63500</xdr:colOff>
      <xdr:row>4</xdr:row>
      <xdr:rowOff>76200</xdr:rowOff>
    </xdr:from>
    <xdr:to>
      <xdr:col>15</xdr:col>
      <xdr:colOff>387350</xdr:colOff>
      <xdr:row>5</xdr:row>
      <xdr:rowOff>127000</xdr:rowOff>
    </xdr:to>
    <xdr:sp macro="" textlink="Pivot_Tables!C18">
      <xdr:nvSpPr>
        <xdr:cNvPr id="13" name="TextBox 12">
          <a:extLst>
            <a:ext uri="{FF2B5EF4-FFF2-40B4-BE49-F238E27FC236}">
              <a16:creationId xmlns:a16="http://schemas.microsoft.com/office/drawing/2014/main" id="{D2007ED4-3B2F-57D4-FB50-CFC199F34BFC}"/>
            </a:ext>
          </a:extLst>
        </xdr:cNvPr>
        <xdr:cNvSpPr txBox="1"/>
      </xdr:nvSpPr>
      <xdr:spPr>
        <a:xfrm>
          <a:off x="8597900" y="812800"/>
          <a:ext cx="933450" cy="2476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05E5C8-441D-4F1F-85EE-C4A3B2DC8014}" type="TxLink">
            <a:rPr lang="en-US" sz="1200" b="1" i="0" u="none" strike="noStrike">
              <a:solidFill>
                <a:srgbClr val="000000"/>
              </a:solidFill>
              <a:latin typeface="Calibri"/>
              <a:ea typeface="Calibri"/>
              <a:cs typeface="Calibri"/>
            </a:rPr>
            <a:pPr/>
            <a:t>5605.90</a:t>
          </a:fld>
          <a:endParaRPr lang="en-IN" sz="1100"/>
        </a:p>
      </xdr:txBody>
    </xdr:sp>
    <xdr:clientData/>
  </xdr:twoCellAnchor>
  <xdr:twoCellAnchor>
    <xdr:from>
      <xdr:col>15</xdr:col>
      <xdr:colOff>476250</xdr:colOff>
      <xdr:row>2</xdr:row>
      <xdr:rowOff>177800</xdr:rowOff>
    </xdr:from>
    <xdr:to>
      <xdr:col>16</xdr:col>
      <xdr:colOff>450850</xdr:colOff>
      <xdr:row>4</xdr:row>
      <xdr:rowOff>63500</xdr:rowOff>
    </xdr:to>
    <xdr:sp macro="" textlink="">
      <xdr:nvSpPr>
        <xdr:cNvPr id="14" name="TextBox 13">
          <a:extLst>
            <a:ext uri="{FF2B5EF4-FFF2-40B4-BE49-F238E27FC236}">
              <a16:creationId xmlns:a16="http://schemas.microsoft.com/office/drawing/2014/main" id="{901DF050-EB86-D6AB-77B3-182730032617}"/>
            </a:ext>
          </a:extLst>
        </xdr:cNvPr>
        <xdr:cNvSpPr txBox="1"/>
      </xdr:nvSpPr>
      <xdr:spPr>
        <a:xfrm>
          <a:off x="9620250" y="546100"/>
          <a:ext cx="584200" cy="2540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2">
                  <a:lumMod val="50000"/>
                </a:schemeClr>
              </a:solidFill>
            </a:rPr>
            <a:t>CPA</a:t>
          </a:r>
        </a:p>
      </xdr:txBody>
    </xdr:sp>
    <xdr:clientData/>
  </xdr:twoCellAnchor>
  <xdr:oneCellAnchor>
    <xdr:from>
      <xdr:col>15</xdr:col>
      <xdr:colOff>349250</xdr:colOff>
      <xdr:row>4</xdr:row>
      <xdr:rowOff>69850</xdr:rowOff>
    </xdr:from>
    <xdr:ext cx="920750" cy="280205"/>
    <xdr:sp macro="" textlink="Pivot_Tables!E18">
      <xdr:nvSpPr>
        <xdr:cNvPr id="18" name="TextBox 17">
          <a:extLst>
            <a:ext uri="{FF2B5EF4-FFF2-40B4-BE49-F238E27FC236}">
              <a16:creationId xmlns:a16="http://schemas.microsoft.com/office/drawing/2014/main" id="{7E443AAA-8B31-6EA6-019D-DFA54C7586C4}"/>
            </a:ext>
          </a:extLst>
        </xdr:cNvPr>
        <xdr:cNvSpPr txBox="1"/>
      </xdr:nvSpPr>
      <xdr:spPr>
        <a:xfrm>
          <a:off x="9493250" y="806450"/>
          <a:ext cx="9207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F3D7523-8B5B-4ADB-954B-89BFF9729E18}" type="TxLink">
            <a:rPr lang="en-US" sz="1200" b="1" i="0" u="none" strike="noStrike">
              <a:solidFill>
                <a:srgbClr val="000000"/>
              </a:solidFill>
              <a:latin typeface="Calibri"/>
              <a:ea typeface="Calibri"/>
              <a:cs typeface="Calibri"/>
            </a:rPr>
            <a:pPr/>
            <a:t>20401.41</a:t>
          </a:fld>
          <a:endParaRPr lang="en-IN" sz="1100"/>
        </a:p>
      </xdr:txBody>
    </xdr:sp>
    <xdr:clientData/>
  </xdr:oneCellAnchor>
</xdr:wsDr>
</file>

<file path=xl/drawings/drawing3.xml><?xml version="1.0" encoding="utf-8"?>
<c:userShapes xmlns:c="http://schemas.openxmlformats.org/drawingml/2006/chart">
  <cdr:relSizeAnchor xmlns:cdr="http://schemas.openxmlformats.org/drawingml/2006/chartDrawing">
    <cdr:from>
      <cdr:x>0.14471</cdr:x>
      <cdr:y>0</cdr:y>
    </cdr:from>
    <cdr:to>
      <cdr:x>0.92208</cdr:x>
      <cdr:y>0.12082</cdr:y>
    </cdr:to>
    <cdr:sp macro="" textlink="">
      <cdr:nvSpPr>
        <cdr:cNvPr id="2" name="TextBox 1">
          <a:extLst xmlns:a="http://schemas.openxmlformats.org/drawingml/2006/main">
            <a:ext uri="{FF2B5EF4-FFF2-40B4-BE49-F238E27FC236}">
              <a16:creationId xmlns:a16="http://schemas.microsoft.com/office/drawing/2014/main" id="{666A5417-B94A-EA15-0C63-3B09927553F0}"/>
            </a:ext>
          </a:extLst>
        </cdr:cNvPr>
        <cdr:cNvSpPr txBox="1"/>
      </cdr:nvSpPr>
      <cdr:spPr>
        <a:xfrm xmlns:a="http://schemas.openxmlformats.org/drawingml/2006/main">
          <a:off x="495300" y="0"/>
          <a:ext cx="2660650" cy="298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accent2">
                  <a:lumMod val="50000"/>
                </a:schemeClr>
              </a:solidFill>
            </a:rPr>
            <a:t>Ad</a:t>
          </a:r>
          <a:r>
            <a:rPr lang="en-IN" sz="1400" b="1" kern="1200" baseline="0">
              <a:solidFill>
                <a:schemeClr val="accent2">
                  <a:lumMod val="50000"/>
                </a:schemeClr>
              </a:solidFill>
            </a:rPr>
            <a:t> Spend Vs Revenue By Months</a:t>
          </a:r>
          <a:endParaRPr lang="en-IN" sz="1400" b="1" kern="1200">
            <a:solidFill>
              <a:schemeClr val="accent2">
                <a:lumMod val="50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0.18407</cdr:x>
      <cdr:y>0.02426</cdr:y>
    </cdr:from>
    <cdr:to>
      <cdr:x>0.8329</cdr:x>
      <cdr:y>0.1159</cdr:y>
    </cdr:to>
    <cdr:sp macro="" textlink="">
      <cdr:nvSpPr>
        <cdr:cNvPr id="2" name="TextBox 1">
          <a:extLst xmlns:a="http://schemas.openxmlformats.org/drawingml/2006/main">
            <a:ext uri="{FF2B5EF4-FFF2-40B4-BE49-F238E27FC236}">
              <a16:creationId xmlns:a16="http://schemas.microsoft.com/office/drawing/2014/main" id="{CCEDF54D-358D-3D61-E06B-2C64908F5A72}"/>
            </a:ext>
          </a:extLst>
        </cdr:cNvPr>
        <cdr:cNvSpPr txBox="1"/>
      </cdr:nvSpPr>
      <cdr:spPr>
        <a:xfrm xmlns:a="http://schemas.openxmlformats.org/drawingml/2006/main">
          <a:off x="895350" y="57150"/>
          <a:ext cx="315595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0.22063</cdr:x>
      <cdr:y>0</cdr:y>
    </cdr:from>
    <cdr:to>
      <cdr:x>0.86423</cdr:x>
      <cdr:y>0.12399</cdr:y>
    </cdr:to>
    <cdr:sp macro="" textlink="">
      <cdr:nvSpPr>
        <cdr:cNvPr id="3" name="TextBox 2">
          <a:extLst xmlns:a="http://schemas.openxmlformats.org/drawingml/2006/main">
            <a:ext uri="{FF2B5EF4-FFF2-40B4-BE49-F238E27FC236}">
              <a16:creationId xmlns:a16="http://schemas.microsoft.com/office/drawing/2014/main" id="{0D37C408-0D2A-4753-5B31-95B31531C3FB}"/>
            </a:ext>
          </a:extLst>
        </cdr:cNvPr>
        <cdr:cNvSpPr txBox="1"/>
      </cdr:nvSpPr>
      <cdr:spPr>
        <a:xfrm xmlns:a="http://schemas.openxmlformats.org/drawingml/2006/main">
          <a:off x="1073150" y="0"/>
          <a:ext cx="3130550" cy="2921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accent2">
                  <a:lumMod val="50000"/>
                </a:schemeClr>
              </a:solidFill>
            </a:rPr>
            <a:t>Ad Spend Vs Revenue By Channel</a:t>
          </a:r>
        </a:p>
        <a:p xmlns:a="http://schemas.openxmlformats.org/drawingml/2006/main">
          <a:endParaRPr lang="en-IN" sz="1400" b="1" kern="1200">
            <a:solidFill>
              <a:schemeClr val="accent2">
                <a:lumMod val="50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0.19009</cdr:x>
      <cdr:y>0</cdr:y>
    </cdr:from>
    <cdr:to>
      <cdr:x>0.96005</cdr:x>
      <cdr:y>0.11081</cdr:y>
    </cdr:to>
    <cdr:sp macro="" textlink="">
      <cdr:nvSpPr>
        <cdr:cNvPr id="2" name="TextBox 1">
          <a:extLst xmlns:a="http://schemas.openxmlformats.org/drawingml/2006/main">
            <a:ext uri="{FF2B5EF4-FFF2-40B4-BE49-F238E27FC236}">
              <a16:creationId xmlns:a16="http://schemas.microsoft.com/office/drawing/2014/main" id="{4C643322-C9EA-B0F1-2817-5CA88F91FE9D}"/>
            </a:ext>
          </a:extLst>
        </cdr:cNvPr>
        <cdr:cNvSpPr txBox="1"/>
      </cdr:nvSpPr>
      <cdr:spPr>
        <a:xfrm xmlns:a="http://schemas.openxmlformats.org/drawingml/2006/main">
          <a:off x="708555" y="0"/>
          <a:ext cx="2869975" cy="26949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accent2">
                  <a:lumMod val="50000"/>
                </a:schemeClr>
              </a:solidFill>
            </a:rPr>
            <a:t>Monthly</a:t>
          </a:r>
          <a:r>
            <a:rPr lang="en-IN" sz="1400" b="1" kern="1200" baseline="0">
              <a:solidFill>
                <a:schemeClr val="accent2">
                  <a:lumMod val="50000"/>
                </a:schemeClr>
              </a:solidFill>
            </a:rPr>
            <a:t> </a:t>
          </a:r>
          <a:r>
            <a:rPr lang="en-IN" sz="1400" b="1" kern="1200">
              <a:solidFill>
                <a:schemeClr val="accent2">
                  <a:lumMod val="50000"/>
                </a:schemeClr>
              </a:solidFill>
            </a:rPr>
            <a:t>Performance</a:t>
          </a:r>
          <a:r>
            <a:rPr lang="en-IN" sz="1400" b="1" kern="1200" baseline="0">
              <a:solidFill>
                <a:schemeClr val="accent2">
                  <a:lumMod val="50000"/>
                </a:schemeClr>
              </a:solidFill>
            </a:rPr>
            <a:t> Trend</a:t>
          </a:r>
          <a:endParaRPr lang="en-IN" sz="1400" b="1" kern="1200">
            <a:solidFill>
              <a:schemeClr val="accent2">
                <a:lumMod val="50000"/>
              </a:schemeClr>
            </a:solidFill>
          </a:endParaRP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i Kalakoti" refreshedDate="46091.971790509262" createdVersion="8" refreshedVersion="8" minRefreshableVersion="3" recordCount="360" xr:uid="{DE91A0F7-807E-49AE-A8A4-0C4188AEF25E}">
  <cacheSource type="worksheet">
    <worksheetSource name="Table2"/>
  </cacheSource>
  <cacheFields count="12">
    <cacheField name="Date" numFmtId="14">
      <sharedItems containsSemiMixedTypes="0" containsNonDate="0" containsDate="1" containsString="0" minDate="2024-01-01T00:00:00" maxDate="2024-03-31T00:00:00" count="9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sharedItems>
      <fieldGroup par="11"/>
    </cacheField>
    <cacheField name="Channel" numFmtId="0">
      <sharedItems count="4">
        <s v="Google Ads"/>
        <s v="Facebook Ads"/>
        <s v="LinkedIn Ads"/>
        <s v="Instagram Ads"/>
      </sharedItems>
    </cacheField>
    <cacheField name="Leads" numFmtId="0">
      <sharedItems containsSemiMixedTypes="0" containsString="0" containsNumber="1" containsInteger="1" minValue="20" maxValue="149"/>
    </cacheField>
    <cacheField name="Conversions" numFmtId="0">
      <sharedItems containsSemiMixedTypes="0" containsString="0" containsNumber="1" containsInteger="1" minValue="5" maxValue="49"/>
    </cacheField>
    <cacheField name="Ad Spend" numFmtId="0">
      <sharedItems containsSemiMixedTypes="0" containsString="0" containsNumber="1" containsInteger="1" minValue="101" maxValue="1993"/>
    </cacheField>
    <cacheField name="Conversion Rate" numFmtId="0">
      <sharedItems containsSemiMixedTypes="0" containsString="0" containsNumber="1" minValue="0.03" maxValue="1.96"/>
    </cacheField>
    <cacheField name="Revenue" numFmtId="0">
      <sharedItems containsSemiMixedTypes="0" containsString="0" containsNumber="1" containsInteger="1" minValue="250" maxValue="2450"/>
    </cacheField>
    <cacheField name="ROAS" numFmtId="2">
      <sharedItems containsSemiMixedTypes="0" containsString="0" containsNumber="1" minValue="0.12933264355923435" maxValue="18.907563025210084"/>
    </cacheField>
    <cacheField name="CPL" numFmtId="2">
      <sharedItems containsSemiMixedTypes="0" containsString="0" containsNumber="1" minValue="0.71631205673758869" maxValue="86.043478260869563"/>
    </cacheField>
    <cacheField name="CPA" numFmtId="2">
      <sharedItems containsSemiMixedTypes="0" containsString="0" containsNumber="1" minValue="2.6444444444444444" maxValue="386.6"/>
    </cacheField>
    <cacheField name="Days (Date)" numFmtId="0" databaseField="0">
      <fieldGroup base="0">
        <rangePr groupBy="days" startDate="2024-01-01T00:00:00" endDate="2024-03-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24"/>
        </groupItems>
      </fieldGroup>
    </cacheField>
    <cacheField name="Months (Date)" numFmtId="0" databaseField="0">
      <fieldGroup base="0">
        <rangePr groupBy="months" startDate="2024-01-01T00:00:00" endDate="2024-03-31T00:00:00"/>
        <groupItems count="14">
          <s v="&lt;01-01-2024"/>
          <s v="Jan"/>
          <s v="Feb"/>
          <s v="Mar"/>
          <s v="Apr"/>
          <s v="May"/>
          <s v="Jun"/>
          <s v="Jul"/>
          <s v="Aug"/>
          <s v="Sep"/>
          <s v="Oct"/>
          <s v="Nov"/>
          <s v="Dec"/>
          <s v="&gt;31-03-2024"/>
        </groupItems>
      </fieldGroup>
    </cacheField>
  </cacheFields>
  <extLst>
    <ext xmlns:x14="http://schemas.microsoft.com/office/spreadsheetml/2009/9/main" uri="{725AE2AE-9491-48be-B2B4-4EB974FC3084}">
      <x14:pivotCacheDefinition pivotCacheId="16576310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n v="121"/>
    <n v="32"/>
    <n v="1204"/>
    <n v="0.26"/>
    <n v="1600"/>
    <n v="1.3289036544850499"/>
    <n v="9.9504132231404956"/>
    <n v="37.625"/>
  </r>
  <r>
    <x v="1"/>
    <x v="0"/>
    <n v="128"/>
    <n v="7"/>
    <n v="1083"/>
    <n v="0.05"/>
    <n v="350"/>
    <n v="0.32317636195752542"/>
    <n v="8.4609375"/>
    <n v="154.71428571428572"/>
  </r>
  <r>
    <x v="2"/>
    <x v="0"/>
    <n v="20"/>
    <n v="5"/>
    <n v="1074"/>
    <n v="0.25"/>
    <n v="250"/>
    <n v="0.23277467411545624"/>
    <n v="53.7"/>
    <n v="214.8"/>
  </r>
  <r>
    <x v="3"/>
    <x v="0"/>
    <n v="128"/>
    <n v="41"/>
    <n v="1161"/>
    <n v="0.32"/>
    <n v="2050"/>
    <n v="1.7657192075796726"/>
    <n v="9.0703125"/>
    <n v="28.317073170731707"/>
  </r>
  <r>
    <x v="4"/>
    <x v="0"/>
    <n v="58"/>
    <n v="5"/>
    <n v="847"/>
    <n v="0.09"/>
    <n v="250"/>
    <n v="0.29515938606847697"/>
    <n v="14.603448275862069"/>
    <n v="169.4"/>
  </r>
  <r>
    <x v="5"/>
    <x v="0"/>
    <n v="29"/>
    <n v="46"/>
    <n v="614"/>
    <n v="1.59"/>
    <n v="2300"/>
    <n v="3.7459283387622149"/>
    <n v="21.172413793103448"/>
    <n v="13.347826086956522"/>
  </r>
  <r>
    <x v="6"/>
    <x v="0"/>
    <n v="69"/>
    <n v="48"/>
    <n v="1307"/>
    <n v="0.7"/>
    <n v="2400"/>
    <n v="1.836266258607498"/>
    <n v="18.942028985507246"/>
    <n v="27.229166666666668"/>
  </r>
  <r>
    <x v="7"/>
    <x v="0"/>
    <n v="45"/>
    <n v="10"/>
    <n v="1915"/>
    <n v="0.22"/>
    <n v="500"/>
    <n v="0.26109660574412535"/>
    <n v="42.555555555555557"/>
    <n v="191.5"/>
  </r>
  <r>
    <x v="8"/>
    <x v="0"/>
    <n v="74"/>
    <n v="9"/>
    <n v="824"/>
    <n v="0.12"/>
    <n v="450"/>
    <n v="0.54611650485436891"/>
    <n v="11.135135135135135"/>
    <n v="91.555555555555557"/>
  </r>
  <r>
    <x v="9"/>
    <x v="0"/>
    <n v="32"/>
    <n v="49"/>
    <n v="499"/>
    <n v="1.53"/>
    <n v="2450"/>
    <n v="4.9098196392785569"/>
    <n v="15.59375"/>
    <n v="10.183673469387756"/>
  </r>
  <r>
    <x v="10"/>
    <x v="0"/>
    <n v="54"/>
    <n v="31"/>
    <n v="1138"/>
    <n v="0.56999999999999995"/>
    <n v="1550"/>
    <n v="1.3620386643233744"/>
    <n v="21.074074074074073"/>
    <n v="36.70967741935484"/>
  </r>
  <r>
    <x v="11"/>
    <x v="0"/>
    <n v="148"/>
    <n v="25"/>
    <n v="1992"/>
    <n v="0.17"/>
    <n v="1250"/>
    <n v="0.6275100401606426"/>
    <n v="13.45945945945946"/>
    <n v="79.680000000000007"/>
  </r>
  <r>
    <x v="12"/>
    <x v="0"/>
    <n v="29"/>
    <n v="16"/>
    <n v="161"/>
    <n v="0.55000000000000004"/>
    <n v="800"/>
    <n v="4.9689440993788816"/>
    <n v="5.5517241379310347"/>
    <n v="10.0625"/>
  </r>
  <r>
    <x v="13"/>
    <x v="0"/>
    <n v="127"/>
    <n v="21"/>
    <n v="920"/>
    <n v="0.17"/>
    <n v="1050"/>
    <n v="1.1413043478260869"/>
    <n v="7.2440944881889759"/>
    <n v="43.80952380952381"/>
  </r>
  <r>
    <x v="14"/>
    <x v="0"/>
    <n v="136"/>
    <n v="16"/>
    <n v="1685"/>
    <n v="0.12"/>
    <n v="800"/>
    <n v="0.47477744807121663"/>
    <n v="12.389705882352942"/>
    <n v="105.3125"/>
  </r>
  <r>
    <x v="15"/>
    <x v="0"/>
    <n v="45"/>
    <n v="37"/>
    <n v="1779"/>
    <n v="0.82"/>
    <n v="1850"/>
    <n v="1.0399100618324901"/>
    <n v="39.533333333333331"/>
    <n v="48.081081081081081"/>
  </r>
  <r>
    <x v="16"/>
    <x v="0"/>
    <n v="25"/>
    <n v="36"/>
    <n v="1950"/>
    <n v="1.44"/>
    <n v="1800"/>
    <n v="0.92307692307692313"/>
    <n v="78"/>
    <n v="54.166666666666664"/>
  </r>
  <r>
    <x v="17"/>
    <x v="0"/>
    <n v="87"/>
    <n v="35"/>
    <n v="426"/>
    <n v="0.4"/>
    <n v="1750"/>
    <n v="4.107981220657277"/>
    <n v="4.8965517241379306"/>
    <n v="12.171428571428571"/>
  </r>
  <r>
    <x v="18"/>
    <x v="0"/>
    <n v="68"/>
    <n v="8"/>
    <n v="1733"/>
    <n v="0.12"/>
    <n v="400"/>
    <n v="0.2308136180034622"/>
    <n v="25.485294117647058"/>
    <n v="216.625"/>
  </r>
  <r>
    <x v="19"/>
    <x v="0"/>
    <n v="147"/>
    <n v="6"/>
    <n v="1525"/>
    <n v="0.04"/>
    <n v="300"/>
    <n v="0.19672131147540983"/>
    <n v="10.374149659863946"/>
    <n v="254.16666666666666"/>
  </r>
  <r>
    <x v="20"/>
    <x v="0"/>
    <n v="91"/>
    <n v="44"/>
    <n v="1429"/>
    <n v="0.48"/>
    <n v="2200"/>
    <n v="1.5395381385584326"/>
    <n v="15.703296703296703"/>
    <n v="32.477272727272727"/>
  </r>
  <r>
    <x v="21"/>
    <x v="0"/>
    <n v="120"/>
    <n v="40"/>
    <n v="1482"/>
    <n v="0.33"/>
    <n v="2000"/>
    <n v="1.3495276653171391"/>
    <n v="12.35"/>
    <n v="37.049999999999997"/>
  </r>
  <r>
    <x v="22"/>
    <x v="0"/>
    <n v="96"/>
    <n v="10"/>
    <n v="1395"/>
    <n v="0.1"/>
    <n v="500"/>
    <n v="0.35842293906810035"/>
    <n v="14.53125"/>
    <n v="139.5"/>
  </r>
  <r>
    <x v="23"/>
    <x v="0"/>
    <n v="103"/>
    <n v="45"/>
    <n v="1216"/>
    <n v="0.44"/>
    <n v="2250"/>
    <n v="1.850328947368421"/>
    <n v="11.805825242718447"/>
    <n v="27.022222222222222"/>
  </r>
  <r>
    <x v="24"/>
    <x v="0"/>
    <n v="141"/>
    <n v="48"/>
    <n v="1153"/>
    <n v="0.34"/>
    <n v="2400"/>
    <n v="2.0815264527320037"/>
    <n v="8.1773049645390063"/>
    <n v="24.020833333333332"/>
  </r>
  <r>
    <x v="25"/>
    <x v="0"/>
    <n v="84"/>
    <n v="7"/>
    <n v="466"/>
    <n v="0.08"/>
    <n v="350"/>
    <n v="0.75107296137339052"/>
    <n v="5.5476190476190474"/>
    <n v="66.571428571428569"/>
  </r>
  <r>
    <x v="26"/>
    <x v="0"/>
    <n v="143"/>
    <n v="30"/>
    <n v="1416"/>
    <n v="0.21"/>
    <n v="1500"/>
    <n v="1.0593220338983051"/>
    <n v="9.9020979020979016"/>
    <n v="47.2"/>
  </r>
  <r>
    <x v="27"/>
    <x v="0"/>
    <n v="115"/>
    <n v="20"/>
    <n v="813"/>
    <n v="0.17"/>
    <n v="1000"/>
    <n v="1.2300123001230012"/>
    <n v="7.0695652173913039"/>
    <n v="40.65"/>
  </r>
  <r>
    <x v="28"/>
    <x v="0"/>
    <n v="53"/>
    <n v="36"/>
    <n v="504"/>
    <n v="0.68"/>
    <n v="1800"/>
    <n v="3.5714285714285716"/>
    <n v="9.5094339622641506"/>
    <n v="14"/>
  </r>
  <r>
    <x v="29"/>
    <x v="0"/>
    <n v="46"/>
    <n v="38"/>
    <n v="538"/>
    <n v="0.83"/>
    <n v="1900"/>
    <n v="3.5315985130111525"/>
    <n v="11.695652173913043"/>
    <n v="14.157894736842104"/>
  </r>
  <r>
    <x v="30"/>
    <x v="0"/>
    <n v="107"/>
    <n v="27"/>
    <n v="1711"/>
    <n v="0.25"/>
    <n v="1350"/>
    <n v="0.78901227352425485"/>
    <n v="15.990654205607477"/>
    <n v="63.370370370370374"/>
  </r>
  <r>
    <x v="31"/>
    <x v="0"/>
    <n v="105"/>
    <n v="10"/>
    <n v="1550"/>
    <n v="0.1"/>
    <n v="500"/>
    <n v="0.32258064516129031"/>
    <n v="14.761904761904763"/>
    <n v="155"/>
  </r>
  <r>
    <x v="32"/>
    <x v="0"/>
    <n v="116"/>
    <n v="8"/>
    <n v="1082"/>
    <n v="7.0000000000000007E-2"/>
    <n v="400"/>
    <n v="0.36968576709796674"/>
    <n v="9.3275862068965516"/>
    <n v="135.25"/>
  </r>
  <r>
    <x v="33"/>
    <x v="0"/>
    <n v="62"/>
    <n v="19"/>
    <n v="295"/>
    <n v="0.31"/>
    <n v="950"/>
    <n v="3.2203389830508473"/>
    <n v="4.758064516129032"/>
    <n v="15.526315789473685"/>
  </r>
  <r>
    <x v="34"/>
    <x v="0"/>
    <n v="102"/>
    <n v="35"/>
    <n v="1825"/>
    <n v="0.34"/>
    <n v="1750"/>
    <n v="0.95890410958904104"/>
    <n v="17.892156862745097"/>
    <n v="52.142857142857146"/>
  </r>
  <r>
    <x v="35"/>
    <x v="0"/>
    <n v="62"/>
    <n v="22"/>
    <n v="1418"/>
    <n v="0.35"/>
    <n v="1100"/>
    <n v="0.7757404795486601"/>
    <n v="22.870967741935484"/>
    <n v="64.454545454545453"/>
  </r>
  <r>
    <x v="36"/>
    <x v="0"/>
    <n v="116"/>
    <n v="17"/>
    <n v="394"/>
    <n v="0.15"/>
    <n v="850"/>
    <n v="2.1573604060913705"/>
    <n v="3.396551724137931"/>
    <n v="23.176470588235293"/>
  </r>
  <r>
    <x v="37"/>
    <x v="0"/>
    <n v="106"/>
    <n v="23"/>
    <n v="1351"/>
    <n v="0.22"/>
    <n v="1150"/>
    <n v="0.85122131754256103"/>
    <n v="12.745283018867925"/>
    <n v="58.739130434782609"/>
  </r>
  <r>
    <x v="38"/>
    <x v="0"/>
    <n v="76"/>
    <n v="26"/>
    <n v="1105"/>
    <n v="0.34"/>
    <n v="1300"/>
    <n v="1.1764705882352942"/>
    <n v="14.539473684210526"/>
    <n v="42.5"/>
  </r>
  <r>
    <x v="39"/>
    <x v="0"/>
    <n v="120"/>
    <n v="42"/>
    <n v="540"/>
    <n v="0.35"/>
    <n v="2100"/>
    <n v="3.8888888888888888"/>
    <n v="4.5"/>
    <n v="12.857142857142858"/>
  </r>
  <r>
    <x v="40"/>
    <x v="0"/>
    <n v="118"/>
    <n v="18"/>
    <n v="1253"/>
    <n v="0.15"/>
    <n v="900"/>
    <n v="0.71827613727055073"/>
    <n v="10.618644067796611"/>
    <n v="69.611111111111114"/>
  </r>
  <r>
    <x v="41"/>
    <x v="0"/>
    <n v="52"/>
    <n v="16"/>
    <n v="640"/>
    <n v="0.31"/>
    <n v="800"/>
    <n v="1.25"/>
    <n v="12.307692307692308"/>
    <n v="40"/>
  </r>
  <r>
    <x v="42"/>
    <x v="0"/>
    <n v="73"/>
    <n v="45"/>
    <n v="717"/>
    <n v="0.62"/>
    <n v="2250"/>
    <n v="3.1380753138075312"/>
    <n v="9.8219178082191778"/>
    <n v="15.933333333333334"/>
  </r>
  <r>
    <x v="43"/>
    <x v="0"/>
    <n v="32"/>
    <n v="48"/>
    <n v="508"/>
    <n v="1.5"/>
    <n v="2400"/>
    <n v="4.7244094488188972"/>
    <n v="15.875"/>
    <n v="10.583333333333334"/>
  </r>
  <r>
    <x v="44"/>
    <x v="0"/>
    <n v="45"/>
    <n v="8"/>
    <n v="571"/>
    <n v="0.18"/>
    <n v="400"/>
    <n v="0.70052539404553416"/>
    <n v="12.688888888888888"/>
    <n v="71.375"/>
  </r>
  <r>
    <x v="45"/>
    <x v="0"/>
    <n v="32"/>
    <n v="36"/>
    <n v="526"/>
    <n v="1.1200000000000001"/>
    <n v="1800"/>
    <n v="3.4220532319391634"/>
    <n v="16.4375"/>
    <n v="14.611111111111111"/>
  </r>
  <r>
    <x v="46"/>
    <x v="0"/>
    <n v="86"/>
    <n v="35"/>
    <n v="1021"/>
    <n v="0.41"/>
    <n v="1750"/>
    <n v="1.7140058765915769"/>
    <n v="11.872093023255815"/>
    <n v="29.171428571428571"/>
  </r>
  <r>
    <x v="47"/>
    <x v="0"/>
    <n v="42"/>
    <n v="19"/>
    <n v="158"/>
    <n v="0.45"/>
    <n v="950"/>
    <n v="6.0126582278481013"/>
    <n v="3.7619047619047619"/>
    <n v="8.3157894736842106"/>
  </r>
  <r>
    <x v="48"/>
    <x v="0"/>
    <n v="126"/>
    <n v="12"/>
    <n v="1608"/>
    <n v="0.1"/>
    <n v="600"/>
    <n v="0.37313432835820898"/>
    <n v="12.761904761904763"/>
    <n v="134"/>
  </r>
  <r>
    <x v="49"/>
    <x v="0"/>
    <n v="102"/>
    <n v="35"/>
    <n v="1610"/>
    <n v="0.34"/>
    <n v="1750"/>
    <n v="1.0869565217391304"/>
    <n v="15.784313725490197"/>
    <n v="46"/>
  </r>
  <r>
    <x v="50"/>
    <x v="0"/>
    <n v="30"/>
    <n v="16"/>
    <n v="382"/>
    <n v="0.53"/>
    <n v="800"/>
    <n v="2.0942408376963351"/>
    <n v="12.733333333333333"/>
    <n v="23.875"/>
  </r>
  <r>
    <x v="51"/>
    <x v="0"/>
    <n v="82"/>
    <n v="6"/>
    <n v="1645"/>
    <n v="7.0000000000000007E-2"/>
    <n v="300"/>
    <n v="0.18237082066869301"/>
    <n v="20.060975609756099"/>
    <n v="274.16666666666669"/>
  </r>
  <r>
    <x v="52"/>
    <x v="0"/>
    <n v="120"/>
    <n v="6"/>
    <n v="1354"/>
    <n v="0.05"/>
    <n v="300"/>
    <n v="0.22156573116691286"/>
    <n v="11.283333333333333"/>
    <n v="225.66666666666666"/>
  </r>
  <r>
    <x v="53"/>
    <x v="0"/>
    <n v="57"/>
    <n v="45"/>
    <n v="1420"/>
    <n v="0.79"/>
    <n v="2250"/>
    <n v="1.5845070422535212"/>
    <n v="24.912280701754387"/>
    <n v="31.555555555555557"/>
  </r>
  <r>
    <x v="54"/>
    <x v="0"/>
    <n v="58"/>
    <n v="7"/>
    <n v="669"/>
    <n v="0.12"/>
    <n v="350"/>
    <n v="0.52316890881913303"/>
    <n v="11.53448275862069"/>
    <n v="95.571428571428569"/>
  </r>
  <r>
    <x v="55"/>
    <x v="0"/>
    <n v="123"/>
    <n v="43"/>
    <n v="1006"/>
    <n v="0.35"/>
    <n v="2150"/>
    <n v="2.1371769383697812"/>
    <n v="8.1788617886178869"/>
    <n v="23.395348837209301"/>
  </r>
  <r>
    <x v="56"/>
    <x v="0"/>
    <n v="71"/>
    <n v="34"/>
    <n v="1782"/>
    <n v="0.48"/>
    <n v="1700"/>
    <n v="0.95398428731762064"/>
    <n v="25.098591549295776"/>
    <n v="52.411764705882355"/>
  </r>
  <r>
    <x v="57"/>
    <x v="0"/>
    <n v="137"/>
    <n v="14"/>
    <n v="276"/>
    <n v="0.1"/>
    <n v="700"/>
    <n v="2.5362318840579712"/>
    <n v="2.0145985401459856"/>
    <n v="19.714285714285715"/>
  </r>
  <r>
    <x v="58"/>
    <x v="0"/>
    <n v="91"/>
    <n v="13"/>
    <n v="1822"/>
    <n v="0.14000000000000001"/>
    <n v="650"/>
    <n v="0.35675082327113061"/>
    <n v="20.021978021978022"/>
    <n v="140.15384615384616"/>
  </r>
  <r>
    <x v="59"/>
    <x v="0"/>
    <n v="43"/>
    <n v="49"/>
    <n v="1936"/>
    <n v="1.1399999999999999"/>
    <n v="2450"/>
    <n v="1.265495867768595"/>
    <n v="45.02325581395349"/>
    <n v="39.510204081632651"/>
  </r>
  <r>
    <x v="60"/>
    <x v="0"/>
    <n v="123"/>
    <n v="10"/>
    <n v="1933"/>
    <n v="0.08"/>
    <n v="500"/>
    <n v="0.2586652871184687"/>
    <n v="15.715447154471544"/>
    <n v="193.3"/>
  </r>
  <r>
    <x v="61"/>
    <x v="0"/>
    <n v="125"/>
    <n v="33"/>
    <n v="1061"/>
    <n v="0.26"/>
    <n v="1650"/>
    <n v="1.5551366635249764"/>
    <n v="8.4879999999999995"/>
    <n v="32.151515151515149"/>
  </r>
  <r>
    <x v="62"/>
    <x v="0"/>
    <n v="102"/>
    <n v="19"/>
    <n v="332"/>
    <n v="0.19"/>
    <n v="950"/>
    <n v="2.8614457831325302"/>
    <n v="3.2549019607843137"/>
    <n v="17.473684210526315"/>
  </r>
  <r>
    <x v="63"/>
    <x v="0"/>
    <n v="33"/>
    <n v="18"/>
    <n v="944"/>
    <n v="0.55000000000000004"/>
    <n v="900"/>
    <n v="0.95338983050847459"/>
    <n v="28.606060606060606"/>
    <n v="52.444444444444443"/>
  </r>
  <r>
    <x v="64"/>
    <x v="0"/>
    <n v="112"/>
    <n v="27"/>
    <n v="394"/>
    <n v="0.24"/>
    <n v="1350"/>
    <n v="3.4263959390862944"/>
    <n v="3.5178571428571428"/>
    <n v="14.592592592592593"/>
  </r>
  <r>
    <x v="65"/>
    <x v="0"/>
    <n v="20"/>
    <n v="30"/>
    <n v="714"/>
    <n v="1.5"/>
    <n v="1500"/>
    <n v="2.1008403361344539"/>
    <n v="35.700000000000003"/>
    <n v="23.8"/>
  </r>
  <r>
    <x v="66"/>
    <x v="0"/>
    <n v="46"/>
    <n v="43"/>
    <n v="1108"/>
    <n v="0.93"/>
    <n v="2150"/>
    <n v="1.9404332129963899"/>
    <n v="24.086956521739129"/>
    <n v="25.767441860465116"/>
  </r>
  <r>
    <x v="67"/>
    <x v="0"/>
    <n v="142"/>
    <n v="47"/>
    <n v="1212"/>
    <n v="0.33"/>
    <n v="2350"/>
    <n v="1.938943894389439"/>
    <n v="8.535211267605634"/>
    <n v="25.787234042553191"/>
  </r>
  <r>
    <x v="68"/>
    <x v="0"/>
    <n v="116"/>
    <n v="40"/>
    <n v="1427"/>
    <n v="0.34"/>
    <n v="2000"/>
    <n v="1.4015416958654521"/>
    <n v="12.301724137931034"/>
    <n v="35.674999999999997"/>
  </r>
  <r>
    <x v="69"/>
    <x v="0"/>
    <n v="104"/>
    <n v="13"/>
    <n v="1858"/>
    <n v="0.12"/>
    <n v="650"/>
    <n v="0.34983853606027987"/>
    <n v="17.865384615384617"/>
    <n v="142.92307692307693"/>
  </r>
  <r>
    <x v="70"/>
    <x v="0"/>
    <n v="141"/>
    <n v="36"/>
    <n v="727"/>
    <n v="0.26"/>
    <n v="1800"/>
    <n v="2.4759284731774414"/>
    <n v="5.1560283687943258"/>
    <n v="20.194444444444443"/>
  </r>
  <r>
    <x v="71"/>
    <x v="0"/>
    <n v="113"/>
    <n v="21"/>
    <n v="1236"/>
    <n v="0.19"/>
    <n v="1050"/>
    <n v="0.84951456310679607"/>
    <n v="10.938053097345133"/>
    <n v="58.857142857142854"/>
  </r>
  <r>
    <x v="72"/>
    <x v="0"/>
    <n v="131"/>
    <n v="17"/>
    <n v="559"/>
    <n v="0.13"/>
    <n v="850"/>
    <n v="1.5205724508050089"/>
    <n v="4.2671755725190836"/>
    <n v="32.882352941176471"/>
  </r>
  <r>
    <x v="73"/>
    <x v="0"/>
    <n v="135"/>
    <n v="39"/>
    <n v="524"/>
    <n v="0.28999999999999998"/>
    <n v="1950"/>
    <n v="3.7213740458015265"/>
    <n v="3.8814814814814813"/>
    <n v="13.435897435897436"/>
  </r>
  <r>
    <x v="74"/>
    <x v="0"/>
    <n v="35"/>
    <n v="7"/>
    <n v="1426"/>
    <n v="0.2"/>
    <n v="350"/>
    <n v="0.24544179523141654"/>
    <n v="40.74285714285714"/>
    <n v="203.71428571428572"/>
  </r>
  <r>
    <x v="75"/>
    <x v="0"/>
    <n v="133"/>
    <n v="42"/>
    <n v="1454"/>
    <n v="0.32"/>
    <n v="2100"/>
    <n v="1.4442916093535076"/>
    <n v="10.93233082706767"/>
    <n v="34.61904761904762"/>
  </r>
  <r>
    <x v="76"/>
    <x v="0"/>
    <n v="149"/>
    <n v="33"/>
    <n v="481"/>
    <n v="0.22"/>
    <n v="1650"/>
    <n v="3.4303534303534304"/>
    <n v="3.2281879194630871"/>
    <n v="14.575757575757576"/>
  </r>
  <r>
    <x v="77"/>
    <x v="0"/>
    <n v="109"/>
    <n v="30"/>
    <n v="1012"/>
    <n v="0.28000000000000003"/>
    <n v="1500"/>
    <n v="1.482213438735178"/>
    <n v="9.2844036697247709"/>
    <n v="33.733333333333334"/>
  </r>
  <r>
    <x v="78"/>
    <x v="0"/>
    <n v="101"/>
    <n v="45"/>
    <n v="1280"/>
    <n v="0.45"/>
    <n v="2250"/>
    <n v="1.7578125"/>
    <n v="12.673267326732674"/>
    <n v="28.444444444444443"/>
  </r>
  <r>
    <x v="79"/>
    <x v="0"/>
    <n v="122"/>
    <n v="49"/>
    <n v="1320"/>
    <n v="0.4"/>
    <n v="2450"/>
    <n v="1.856060606060606"/>
    <n v="10.819672131147541"/>
    <n v="26.938775510204081"/>
  </r>
  <r>
    <x v="80"/>
    <x v="0"/>
    <n v="56"/>
    <n v="11"/>
    <n v="1822"/>
    <n v="0.2"/>
    <n v="550"/>
    <n v="0.30186608122941821"/>
    <n v="32.535714285714285"/>
    <n v="165.63636363636363"/>
  </r>
  <r>
    <x v="81"/>
    <x v="0"/>
    <n v="42"/>
    <n v="22"/>
    <n v="926"/>
    <n v="0.52"/>
    <n v="1100"/>
    <n v="1.1879049676025919"/>
    <n v="22.047619047619047"/>
    <n v="42.090909090909093"/>
  </r>
  <r>
    <x v="82"/>
    <x v="0"/>
    <n v="110"/>
    <n v="6"/>
    <n v="1339"/>
    <n v="0.05"/>
    <n v="300"/>
    <n v="0.22404779686333084"/>
    <n v="12.172727272727272"/>
    <n v="223.16666666666666"/>
  </r>
  <r>
    <x v="83"/>
    <x v="0"/>
    <n v="134"/>
    <n v="45"/>
    <n v="1415"/>
    <n v="0.34"/>
    <n v="2250"/>
    <n v="1.5901060070671378"/>
    <n v="10.559701492537313"/>
    <n v="31.444444444444443"/>
  </r>
  <r>
    <x v="84"/>
    <x v="0"/>
    <n v="23"/>
    <n v="25"/>
    <n v="624"/>
    <n v="1.0900000000000001"/>
    <n v="1250"/>
    <n v="2.0032051282051282"/>
    <n v="27.130434782608695"/>
    <n v="24.96"/>
  </r>
  <r>
    <x v="85"/>
    <x v="0"/>
    <n v="63"/>
    <n v="18"/>
    <n v="260"/>
    <n v="0.28999999999999998"/>
    <n v="900"/>
    <n v="3.4615384615384617"/>
    <n v="4.1269841269841274"/>
    <n v="14.444444444444445"/>
  </r>
  <r>
    <x v="86"/>
    <x v="0"/>
    <n v="98"/>
    <n v="18"/>
    <n v="510"/>
    <n v="0.18"/>
    <n v="900"/>
    <n v="1.7647058823529411"/>
    <n v="5.204081632653061"/>
    <n v="28.333333333333332"/>
  </r>
  <r>
    <x v="87"/>
    <x v="0"/>
    <n v="113"/>
    <n v="27"/>
    <n v="1022"/>
    <n v="0.24"/>
    <n v="1350"/>
    <n v="1.3209393346379648"/>
    <n v="9.0442477876106189"/>
    <n v="37.851851851851855"/>
  </r>
  <r>
    <x v="88"/>
    <x v="0"/>
    <n v="102"/>
    <n v="23"/>
    <n v="920"/>
    <n v="0.23"/>
    <n v="1150"/>
    <n v="1.25"/>
    <n v="9.0196078431372548"/>
    <n v="40"/>
  </r>
  <r>
    <x v="89"/>
    <x v="0"/>
    <n v="92"/>
    <n v="23"/>
    <n v="453"/>
    <n v="0.25"/>
    <n v="1150"/>
    <n v="2.5386313465783665"/>
    <n v="4.9239130434782608"/>
    <n v="19.695652173913043"/>
  </r>
  <r>
    <x v="0"/>
    <x v="1"/>
    <n v="99"/>
    <n v="42"/>
    <n v="1314"/>
    <n v="0.42"/>
    <n v="2100"/>
    <n v="1.5981735159817352"/>
    <n v="13.272727272727273"/>
    <n v="31.285714285714285"/>
  </r>
  <r>
    <x v="1"/>
    <x v="1"/>
    <n v="130"/>
    <n v="18"/>
    <n v="1440"/>
    <n v="0.14000000000000001"/>
    <n v="900"/>
    <n v="0.625"/>
    <n v="11.076923076923077"/>
    <n v="80"/>
  </r>
  <r>
    <x v="2"/>
    <x v="1"/>
    <n v="108"/>
    <n v="6"/>
    <n v="1746"/>
    <n v="0.06"/>
    <n v="300"/>
    <n v="0.1718213058419244"/>
    <n v="16.166666666666668"/>
    <n v="291"/>
  </r>
  <r>
    <x v="3"/>
    <x v="1"/>
    <n v="133"/>
    <n v="19"/>
    <n v="1993"/>
    <n v="0.14000000000000001"/>
    <n v="950"/>
    <n v="0.47666833918715507"/>
    <n v="14.984962406015038"/>
    <n v="104.89473684210526"/>
  </r>
  <r>
    <x v="4"/>
    <x v="1"/>
    <n v="142"/>
    <n v="13"/>
    <n v="826"/>
    <n v="0.09"/>
    <n v="650"/>
    <n v="0.78692493946731235"/>
    <n v="5.816901408450704"/>
    <n v="63.53846153846154"/>
  </r>
  <r>
    <x v="5"/>
    <x v="1"/>
    <n v="121"/>
    <n v="48"/>
    <n v="1550"/>
    <n v="0.4"/>
    <n v="2400"/>
    <n v="1.5483870967741935"/>
    <n v="12.809917355371901"/>
    <n v="32.291666666666664"/>
  </r>
  <r>
    <x v="6"/>
    <x v="1"/>
    <n v="98"/>
    <n v="7"/>
    <n v="313"/>
    <n v="7.0000000000000007E-2"/>
    <n v="350"/>
    <n v="1.1182108626198084"/>
    <n v="3.193877551020408"/>
    <n v="44.714285714285715"/>
  </r>
  <r>
    <x v="7"/>
    <x v="1"/>
    <n v="73"/>
    <n v="8"/>
    <n v="354"/>
    <n v="0.11"/>
    <n v="400"/>
    <n v="1.1299435028248588"/>
    <n v="4.8493150684931505"/>
    <n v="44.25"/>
  </r>
  <r>
    <x v="8"/>
    <x v="1"/>
    <n v="86"/>
    <n v="31"/>
    <n v="423"/>
    <n v="0.36"/>
    <n v="1550"/>
    <n v="3.6643026004728134"/>
    <n v="4.9186046511627906"/>
    <n v="13.64516129032258"/>
  </r>
  <r>
    <x v="9"/>
    <x v="1"/>
    <n v="102"/>
    <n v="49"/>
    <n v="950"/>
    <n v="0.48"/>
    <n v="2450"/>
    <n v="2.5789473684210527"/>
    <n v="9.3137254901960791"/>
    <n v="19.387755102040817"/>
  </r>
  <r>
    <x v="10"/>
    <x v="1"/>
    <n v="144"/>
    <n v="27"/>
    <n v="1775"/>
    <n v="0.19"/>
    <n v="1350"/>
    <n v="0.76056338028169013"/>
    <n v="12.326388888888889"/>
    <n v="65.740740740740748"/>
  </r>
  <r>
    <x v="11"/>
    <x v="1"/>
    <n v="23"/>
    <n v="10"/>
    <n v="355"/>
    <n v="0.43"/>
    <n v="500"/>
    <n v="1.408450704225352"/>
    <n v="15.434782608695652"/>
    <n v="35.5"/>
  </r>
  <r>
    <x v="12"/>
    <x v="1"/>
    <n v="66"/>
    <n v="9"/>
    <n v="1424"/>
    <n v="0.14000000000000001"/>
    <n v="450"/>
    <n v="0.3160112359550562"/>
    <n v="21.575757575757574"/>
    <n v="158.22222222222223"/>
  </r>
  <r>
    <x v="13"/>
    <x v="1"/>
    <n v="145"/>
    <n v="13"/>
    <n v="1107"/>
    <n v="0.09"/>
    <n v="650"/>
    <n v="0.58717253839205064"/>
    <n v="7.63448275862069"/>
    <n v="85.15384615384616"/>
  </r>
  <r>
    <x v="14"/>
    <x v="1"/>
    <n v="95"/>
    <n v="41"/>
    <n v="1428"/>
    <n v="0.43"/>
    <n v="2050"/>
    <n v="1.4355742296918768"/>
    <n v="15.031578947368422"/>
    <n v="34.829268292682926"/>
  </r>
  <r>
    <x v="15"/>
    <x v="1"/>
    <n v="52"/>
    <n v="8"/>
    <n v="1058"/>
    <n v="0.15"/>
    <n v="400"/>
    <n v="0.3780718336483932"/>
    <n v="20.346153846153847"/>
    <n v="132.25"/>
  </r>
  <r>
    <x v="16"/>
    <x v="1"/>
    <n v="44"/>
    <n v="43"/>
    <n v="142"/>
    <n v="0.98"/>
    <n v="2150"/>
    <n v="15.140845070422536"/>
    <n v="3.2272727272727271"/>
    <n v="3.3023255813953489"/>
  </r>
  <r>
    <x v="17"/>
    <x v="1"/>
    <n v="56"/>
    <n v="18"/>
    <n v="487"/>
    <n v="0.32"/>
    <n v="900"/>
    <n v="1.8480492813141685"/>
    <n v="8.6964285714285712"/>
    <n v="27.055555555555557"/>
  </r>
  <r>
    <x v="18"/>
    <x v="1"/>
    <n v="136"/>
    <n v="44"/>
    <n v="754"/>
    <n v="0.32"/>
    <n v="2200"/>
    <n v="2.9177718832891246"/>
    <n v="5.5441176470588234"/>
    <n v="17.136363636363637"/>
  </r>
  <r>
    <x v="19"/>
    <x v="1"/>
    <n v="126"/>
    <n v="8"/>
    <n v="1543"/>
    <n v="0.06"/>
    <n v="400"/>
    <n v="0.25923525599481528"/>
    <n v="12.246031746031745"/>
    <n v="192.875"/>
  </r>
  <r>
    <x v="20"/>
    <x v="1"/>
    <n v="23"/>
    <n v="16"/>
    <n v="1886"/>
    <n v="0.7"/>
    <n v="800"/>
    <n v="0.42417815482502652"/>
    <n v="82"/>
    <n v="117.875"/>
  </r>
  <r>
    <x v="21"/>
    <x v="1"/>
    <n v="73"/>
    <n v="39"/>
    <n v="457"/>
    <n v="0.53"/>
    <n v="1950"/>
    <n v="4.2669584245076591"/>
    <n v="6.2602739726027394"/>
    <n v="11.717948717948717"/>
  </r>
  <r>
    <x v="22"/>
    <x v="1"/>
    <n v="129"/>
    <n v="30"/>
    <n v="1317"/>
    <n v="0.23"/>
    <n v="1500"/>
    <n v="1.1389521640091116"/>
    <n v="10.209302325581396"/>
    <n v="43.9"/>
  </r>
  <r>
    <x v="23"/>
    <x v="1"/>
    <n v="105"/>
    <n v="18"/>
    <n v="131"/>
    <n v="0.17"/>
    <n v="900"/>
    <n v="6.8702290076335881"/>
    <n v="1.2476190476190476"/>
    <n v="7.2777777777777777"/>
  </r>
  <r>
    <x v="24"/>
    <x v="1"/>
    <n v="68"/>
    <n v="12"/>
    <n v="947"/>
    <n v="0.18"/>
    <n v="600"/>
    <n v="0.6335797254487856"/>
    <n v="13.926470588235293"/>
    <n v="78.916666666666671"/>
  </r>
  <r>
    <x v="25"/>
    <x v="1"/>
    <n v="41"/>
    <n v="14"/>
    <n v="1316"/>
    <n v="0.34"/>
    <n v="700"/>
    <n v="0.53191489361702127"/>
    <n v="32.097560975609753"/>
    <n v="94"/>
  </r>
  <r>
    <x v="26"/>
    <x v="1"/>
    <n v="146"/>
    <n v="14"/>
    <n v="944"/>
    <n v="0.1"/>
    <n v="700"/>
    <n v="0.74152542372881358"/>
    <n v="6.4657534246575343"/>
    <n v="67.428571428571431"/>
  </r>
  <r>
    <x v="27"/>
    <x v="1"/>
    <n v="49"/>
    <n v="40"/>
    <n v="991"/>
    <n v="0.82"/>
    <n v="2000"/>
    <n v="2.0181634712411705"/>
    <n v="20.224489795918366"/>
    <n v="24.774999999999999"/>
  </r>
  <r>
    <x v="28"/>
    <x v="1"/>
    <n v="111"/>
    <n v="21"/>
    <n v="538"/>
    <n v="0.19"/>
    <n v="1050"/>
    <n v="1.9516728624535316"/>
    <n v="4.8468468468468471"/>
    <n v="25.61904761904762"/>
  </r>
  <r>
    <x v="29"/>
    <x v="1"/>
    <n v="78"/>
    <n v="21"/>
    <n v="820"/>
    <n v="0.27"/>
    <n v="1050"/>
    <n v="1.2804878048780488"/>
    <n v="10.512820512820513"/>
    <n v="39.047619047619051"/>
  </r>
  <r>
    <x v="30"/>
    <x v="1"/>
    <n v="92"/>
    <n v="14"/>
    <n v="1510"/>
    <n v="0.15"/>
    <n v="700"/>
    <n v="0.46357615894039733"/>
    <n v="16.413043478260871"/>
    <n v="107.85714285714286"/>
  </r>
  <r>
    <x v="31"/>
    <x v="1"/>
    <n v="27"/>
    <n v="40"/>
    <n v="161"/>
    <n v="1.48"/>
    <n v="2000"/>
    <n v="12.422360248447205"/>
    <n v="5.9629629629629628"/>
    <n v="4.0250000000000004"/>
  </r>
  <r>
    <x v="32"/>
    <x v="1"/>
    <n v="52"/>
    <n v="7"/>
    <n v="1752"/>
    <n v="0.13"/>
    <n v="350"/>
    <n v="0.1997716894977169"/>
    <n v="33.692307692307693"/>
    <n v="250.28571428571428"/>
  </r>
  <r>
    <x v="33"/>
    <x v="1"/>
    <n v="68"/>
    <n v="25"/>
    <n v="1218"/>
    <n v="0.37"/>
    <n v="1250"/>
    <n v="1.0262725779967159"/>
    <n v="17.911764705882351"/>
    <n v="48.72"/>
  </r>
  <r>
    <x v="34"/>
    <x v="1"/>
    <n v="130"/>
    <n v="6"/>
    <n v="1338"/>
    <n v="0.05"/>
    <n v="300"/>
    <n v="0.22421524663677131"/>
    <n v="10.292307692307693"/>
    <n v="223"/>
  </r>
  <r>
    <x v="35"/>
    <x v="1"/>
    <n v="40"/>
    <n v="22"/>
    <n v="664"/>
    <n v="0.55000000000000004"/>
    <n v="1100"/>
    <n v="1.6566265060240963"/>
    <n v="16.600000000000001"/>
    <n v="30.181818181818183"/>
  </r>
  <r>
    <x v="36"/>
    <x v="1"/>
    <n v="120"/>
    <n v="28"/>
    <n v="1381"/>
    <n v="0.23"/>
    <n v="1400"/>
    <n v="1.0137581462708183"/>
    <n v="11.508333333333333"/>
    <n v="49.321428571428569"/>
  </r>
  <r>
    <x v="37"/>
    <x v="1"/>
    <n v="45"/>
    <n v="49"/>
    <n v="1813"/>
    <n v="1.0900000000000001"/>
    <n v="2450"/>
    <n v="1.3513513513513513"/>
    <n v="40.288888888888891"/>
    <n v="37"/>
  </r>
  <r>
    <x v="38"/>
    <x v="1"/>
    <n v="72"/>
    <n v="29"/>
    <n v="932"/>
    <n v="0.4"/>
    <n v="1450"/>
    <n v="1.555793991416309"/>
    <n v="12.944444444444445"/>
    <n v="32.137931034482762"/>
  </r>
  <r>
    <x v="39"/>
    <x v="1"/>
    <n v="71"/>
    <n v="38"/>
    <n v="932"/>
    <n v="0.54"/>
    <n v="1900"/>
    <n v="2.0386266094420602"/>
    <n v="13.126760563380282"/>
    <n v="24.526315789473685"/>
  </r>
  <r>
    <x v="40"/>
    <x v="1"/>
    <n v="77"/>
    <n v="21"/>
    <n v="1274"/>
    <n v="0.27"/>
    <n v="1050"/>
    <n v="0.82417582417582413"/>
    <n v="16.545454545454547"/>
    <n v="60.666666666666664"/>
  </r>
  <r>
    <x v="41"/>
    <x v="1"/>
    <n v="126"/>
    <n v="37"/>
    <n v="536"/>
    <n v="0.28999999999999998"/>
    <n v="1850"/>
    <n v="3.4514925373134329"/>
    <n v="4.253968253968254"/>
    <n v="14.486486486486486"/>
  </r>
  <r>
    <x v="42"/>
    <x v="1"/>
    <n v="24"/>
    <n v="40"/>
    <n v="800"/>
    <n v="1.67"/>
    <n v="2000"/>
    <n v="2.5"/>
    <n v="33.333333333333336"/>
    <n v="20"/>
  </r>
  <r>
    <x v="43"/>
    <x v="1"/>
    <n v="50"/>
    <n v="35"/>
    <n v="1560"/>
    <n v="0.7"/>
    <n v="1750"/>
    <n v="1.1217948717948718"/>
    <n v="31.2"/>
    <n v="44.571428571428569"/>
  </r>
  <r>
    <x v="44"/>
    <x v="1"/>
    <n v="70"/>
    <n v="33"/>
    <n v="874"/>
    <n v="0.47"/>
    <n v="1650"/>
    <n v="1.8878718535469108"/>
    <n v="12.485714285714286"/>
    <n v="26.484848484848484"/>
  </r>
  <r>
    <x v="45"/>
    <x v="1"/>
    <n v="67"/>
    <n v="27"/>
    <n v="1265"/>
    <n v="0.4"/>
    <n v="1350"/>
    <n v="1.0671936758893281"/>
    <n v="18.880597014925375"/>
    <n v="46.851851851851855"/>
  </r>
  <r>
    <x v="46"/>
    <x v="1"/>
    <n v="66"/>
    <n v="17"/>
    <n v="1691"/>
    <n v="0.26"/>
    <n v="850"/>
    <n v="0.50266114725014788"/>
    <n v="25.621212121212121"/>
    <n v="99.470588235294116"/>
  </r>
  <r>
    <x v="47"/>
    <x v="1"/>
    <n v="79"/>
    <n v="10"/>
    <n v="1808"/>
    <n v="0.13"/>
    <n v="500"/>
    <n v="0.27654867256637167"/>
    <n v="22.88607594936709"/>
    <n v="180.8"/>
  </r>
  <r>
    <x v="48"/>
    <x v="1"/>
    <n v="134"/>
    <n v="41"/>
    <n v="1346"/>
    <n v="0.31"/>
    <n v="2050"/>
    <n v="1.5230312035661218"/>
    <n v="10.044776119402986"/>
    <n v="32.829268292682926"/>
  </r>
  <r>
    <x v="49"/>
    <x v="1"/>
    <n v="65"/>
    <n v="15"/>
    <n v="1626"/>
    <n v="0.23"/>
    <n v="750"/>
    <n v="0.46125461254612549"/>
    <n v="25.015384615384615"/>
    <n v="108.4"/>
  </r>
  <r>
    <x v="50"/>
    <x v="1"/>
    <n v="134"/>
    <n v="8"/>
    <n v="1767"/>
    <n v="0.06"/>
    <n v="400"/>
    <n v="0.22637238256932654"/>
    <n v="13.186567164179104"/>
    <n v="220.875"/>
  </r>
  <r>
    <x v="51"/>
    <x v="1"/>
    <n v="62"/>
    <n v="11"/>
    <n v="957"/>
    <n v="0.18"/>
    <n v="550"/>
    <n v="0.57471264367816088"/>
    <n v="15.435483870967742"/>
    <n v="87"/>
  </r>
  <r>
    <x v="52"/>
    <x v="1"/>
    <n v="57"/>
    <n v="10"/>
    <n v="418"/>
    <n v="0.18"/>
    <n v="500"/>
    <n v="1.1961722488038278"/>
    <n v="7.333333333333333"/>
    <n v="41.8"/>
  </r>
  <r>
    <x v="53"/>
    <x v="1"/>
    <n v="129"/>
    <n v="10"/>
    <n v="1292"/>
    <n v="0.08"/>
    <n v="500"/>
    <n v="0.38699690402476783"/>
    <n v="10.015503875968992"/>
    <n v="129.19999999999999"/>
  </r>
  <r>
    <x v="54"/>
    <x v="1"/>
    <n v="89"/>
    <n v="46"/>
    <n v="718"/>
    <n v="0.52"/>
    <n v="2300"/>
    <n v="3.2033426183844012"/>
    <n v="8.0674157303370784"/>
    <n v="15.608695652173912"/>
  </r>
  <r>
    <x v="55"/>
    <x v="1"/>
    <n v="76"/>
    <n v="16"/>
    <n v="1752"/>
    <n v="0.21"/>
    <n v="800"/>
    <n v="0.45662100456621002"/>
    <n v="23.05263157894737"/>
    <n v="109.5"/>
  </r>
  <r>
    <x v="56"/>
    <x v="1"/>
    <n v="49"/>
    <n v="5"/>
    <n v="1481"/>
    <n v="0.1"/>
    <n v="250"/>
    <n v="0.16880486158001351"/>
    <n v="30.224489795918366"/>
    <n v="296.2"/>
  </r>
  <r>
    <x v="57"/>
    <x v="1"/>
    <n v="112"/>
    <n v="38"/>
    <n v="837"/>
    <n v="0.34"/>
    <n v="1900"/>
    <n v="2.2700119474313021"/>
    <n v="7.4732142857142856"/>
    <n v="22.026315789473685"/>
  </r>
  <r>
    <x v="58"/>
    <x v="1"/>
    <n v="127"/>
    <n v="45"/>
    <n v="119"/>
    <n v="0.35"/>
    <n v="2250"/>
    <n v="18.907563025210084"/>
    <n v="0.93700787401574803"/>
    <n v="2.6444444444444444"/>
  </r>
  <r>
    <x v="59"/>
    <x v="1"/>
    <n v="59"/>
    <n v="44"/>
    <n v="456"/>
    <n v="0.75"/>
    <n v="2200"/>
    <n v="4.8245614035087723"/>
    <n v="7.7288135593220337"/>
    <n v="10.363636363636363"/>
  </r>
  <r>
    <x v="60"/>
    <x v="1"/>
    <n v="131"/>
    <n v="33"/>
    <n v="1595"/>
    <n v="0.25"/>
    <n v="1650"/>
    <n v="1.0344827586206897"/>
    <n v="12.175572519083969"/>
    <n v="48.333333333333336"/>
  </r>
  <r>
    <x v="61"/>
    <x v="1"/>
    <n v="96"/>
    <n v="36"/>
    <n v="1158"/>
    <n v="0.38"/>
    <n v="1800"/>
    <n v="1.5544041450777202"/>
    <n v="12.0625"/>
    <n v="32.166666666666664"/>
  </r>
  <r>
    <x v="62"/>
    <x v="1"/>
    <n v="43"/>
    <n v="28"/>
    <n v="1392"/>
    <n v="0.65"/>
    <n v="1400"/>
    <n v="1.0057471264367817"/>
    <n v="32.372093023255815"/>
    <n v="49.714285714285715"/>
  </r>
  <r>
    <x v="63"/>
    <x v="1"/>
    <n v="38"/>
    <n v="25"/>
    <n v="508"/>
    <n v="0.66"/>
    <n v="1250"/>
    <n v="2.4606299212598426"/>
    <n v="13.368421052631579"/>
    <n v="20.32"/>
  </r>
  <r>
    <x v="64"/>
    <x v="1"/>
    <n v="107"/>
    <n v="14"/>
    <n v="666"/>
    <n v="0.13"/>
    <n v="700"/>
    <n v="1.0510510510510511"/>
    <n v="6.2242990654205608"/>
    <n v="47.571428571428569"/>
  </r>
  <r>
    <x v="65"/>
    <x v="1"/>
    <n v="54"/>
    <n v="30"/>
    <n v="999"/>
    <n v="0.56000000000000005"/>
    <n v="1500"/>
    <n v="1.5015015015015014"/>
    <n v="18.5"/>
    <n v="33.299999999999997"/>
  </r>
  <r>
    <x v="66"/>
    <x v="1"/>
    <n v="50"/>
    <n v="44"/>
    <n v="800"/>
    <n v="0.88"/>
    <n v="2200"/>
    <n v="2.75"/>
    <n v="16"/>
    <n v="18.181818181818183"/>
  </r>
  <r>
    <x v="67"/>
    <x v="1"/>
    <n v="111"/>
    <n v="20"/>
    <n v="341"/>
    <n v="0.18"/>
    <n v="1000"/>
    <n v="2.9325513196480939"/>
    <n v="3.0720720720720722"/>
    <n v="17.05"/>
  </r>
  <r>
    <x v="68"/>
    <x v="1"/>
    <n v="26"/>
    <n v="34"/>
    <n v="286"/>
    <n v="1.31"/>
    <n v="1700"/>
    <n v="5.9440559440559442"/>
    <n v="11"/>
    <n v="8.4117647058823533"/>
  </r>
  <r>
    <x v="69"/>
    <x v="1"/>
    <n v="133"/>
    <n v="26"/>
    <n v="1592"/>
    <n v="0.2"/>
    <n v="1300"/>
    <n v="0.81658291457286436"/>
    <n v="11.969924812030076"/>
    <n v="61.230769230769234"/>
  </r>
  <r>
    <x v="70"/>
    <x v="1"/>
    <n v="122"/>
    <n v="48"/>
    <n v="616"/>
    <n v="0.39"/>
    <n v="2400"/>
    <n v="3.8961038961038961"/>
    <n v="5.0491803278688527"/>
    <n v="12.833333333333334"/>
  </r>
  <r>
    <x v="71"/>
    <x v="1"/>
    <n v="88"/>
    <n v="17"/>
    <n v="962"/>
    <n v="0.19"/>
    <n v="850"/>
    <n v="0.88357588357588357"/>
    <n v="10.931818181818182"/>
    <n v="56.588235294117645"/>
  </r>
  <r>
    <x v="72"/>
    <x v="1"/>
    <n v="84"/>
    <n v="24"/>
    <n v="1669"/>
    <n v="0.28999999999999998"/>
    <n v="1200"/>
    <n v="0.7189934092270821"/>
    <n v="19.86904761904762"/>
    <n v="69.541666666666671"/>
  </r>
  <r>
    <x v="73"/>
    <x v="1"/>
    <n v="116"/>
    <n v="14"/>
    <n v="105"/>
    <n v="0.12"/>
    <n v="700"/>
    <n v="6.666666666666667"/>
    <n v="0.90517241379310343"/>
    <n v="7.5"/>
  </r>
  <r>
    <x v="74"/>
    <x v="1"/>
    <n v="120"/>
    <n v="8"/>
    <n v="315"/>
    <n v="7.0000000000000007E-2"/>
    <n v="400"/>
    <n v="1.2698412698412698"/>
    <n v="2.625"/>
    <n v="39.375"/>
  </r>
  <r>
    <x v="75"/>
    <x v="1"/>
    <n v="109"/>
    <n v="29"/>
    <n v="1940"/>
    <n v="0.27"/>
    <n v="1450"/>
    <n v="0.74742268041237114"/>
    <n v="17.798165137614678"/>
    <n v="66.896551724137936"/>
  </r>
  <r>
    <x v="76"/>
    <x v="1"/>
    <n v="125"/>
    <n v="37"/>
    <n v="647"/>
    <n v="0.3"/>
    <n v="1850"/>
    <n v="2.8593508500772797"/>
    <n v="5.1760000000000002"/>
    <n v="17.486486486486488"/>
  </r>
  <r>
    <x v="77"/>
    <x v="1"/>
    <n v="129"/>
    <n v="41"/>
    <n v="625"/>
    <n v="0.32"/>
    <n v="2050"/>
    <n v="3.28"/>
    <n v="4.8449612403100772"/>
    <n v="15.24390243902439"/>
  </r>
  <r>
    <x v="78"/>
    <x v="1"/>
    <n v="139"/>
    <n v="12"/>
    <n v="1510"/>
    <n v="0.09"/>
    <n v="600"/>
    <n v="0.39735099337748342"/>
    <n v="10.863309352517986"/>
    <n v="125.83333333333333"/>
  </r>
  <r>
    <x v="79"/>
    <x v="1"/>
    <n v="127"/>
    <n v="35"/>
    <n v="633"/>
    <n v="0.28000000000000003"/>
    <n v="1750"/>
    <n v="2.764612954186414"/>
    <n v="4.984251968503937"/>
    <n v="18.085714285714285"/>
  </r>
  <r>
    <x v="80"/>
    <x v="1"/>
    <n v="105"/>
    <n v="42"/>
    <n v="1717"/>
    <n v="0.4"/>
    <n v="2100"/>
    <n v="1.2230634828188702"/>
    <n v="16.352380952380951"/>
    <n v="40.88095238095238"/>
  </r>
  <r>
    <x v="81"/>
    <x v="1"/>
    <n v="49"/>
    <n v="12"/>
    <n v="1030"/>
    <n v="0.24"/>
    <n v="600"/>
    <n v="0.58252427184466016"/>
    <n v="21.020408163265305"/>
    <n v="85.833333333333329"/>
  </r>
  <r>
    <x v="82"/>
    <x v="1"/>
    <n v="105"/>
    <n v="22"/>
    <n v="1220"/>
    <n v="0.21"/>
    <n v="1100"/>
    <n v="0.90163934426229508"/>
    <n v="11.619047619047619"/>
    <n v="55.454545454545453"/>
  </r>
  <r>
    <x v="83"/>
    <x v="1"/>
    <n v="96"/>
    <n v="33"/>
    <n v="705"/>
    <n v="0.34"/>
    <n v="1650"/>
    <n v="2.3404255319148937"/>
    <n v="7.34375"/>
    <n v="21.363636363636363"/>
  </r>
  <r>
    <x v="84"/>
    <x v="1"/>
    <n v="98"/>
    <n v="32"/>
    <n v="1255"/>
    <n v="0.33"/>
    <n v="1600"/>
    <n v="1.2749003984063745"/>
    <n v="12.806122448979592"/>
    <n v="39.21875"/>
  </r>
  <r>
    <x v="85"/>
    <x v="1"/>
    <n v="25"/>
    <n v="49"/>
    <n v="590"/>
    <n v="1.96"/>
    <n v="2450"/>
    <n v="4.1525423728813555"/>
    <n v="23.6"/>
    <n v="12.040816326530612"/>
  </r>
  <r>
    <x v="86"/>
    <x v="1"/>
    <n v="117"/>
    <n v="47"/>
    <n v="1148"/>
    <n v="0.4"/>
    <n v="2350"/>
    <n v="2.0470383275261326"/>
    <n v="9.8119658119658126"/>
    <n v="24.425531914893618"/>
  </r>
  <r>
    <x v="87"/>
    <x v="1"/>
    <n v="96"/>
    <n v="46"/>
    <n v="1905"/>
    <n v="0.48"/>
    <n v="2300"/>
    <n v="1.2073490813648293"/>
    <n v="19.84375"/>
    <n v="41.413043478260867"/>
  </r>
  <r>
    <x v="88"/>
    <x v="1"/>
    <n v="99"/>
    <n v="13"/>
    <n v="527"/>
    <n v="0.13"/>
    <n v="650"/>
    <n v="1.2333965844402277"/>
    <n v="5.3232323232323235"/>
    <n v="40.53846153846154"/>
  </r>
  <r>
    <x v="89"/>
    <x v="1"/>
    <n v="132"/>
    <n v="15"/>
    <n v="713"/>
    <n v="0.11"/>
    <n v="750"/>
    <n v="1.0518934081346423"/>
    <n v="5.4015151515151514"/>
    <n v="47.533333333333331"/>
  </r>
  <r>
    <x v="0"/>
    <x v="2"/>
    <n v="141"/>
    <n v="34"/>
    <n v="1666"/>
    <n v="0.24"/>
    <n v="1700"/>
    <n v="1.0204081632653061"/>
    <n v="11.815602836879433"/>
    <n v="49"/>
  </r>
  <r>
    <x v="1"/>
    <x v="2"/>
    <n v="73"/>
    <n v="25"/>
    <n v="131"/>
    <n v="0.34"/>
    <n v="1250"/>
    <n v="9.5419847328244281"/>
    <n v="1.7945205479452055"/>
    <n v="5.24"/>
  </r>
  <r>
    <x v="2"/>
    <x v="2"/>
    <n v="56"/>
    <n v="33"/>
    <n v="229"/>
    <n v="0.59"/>
    <n v="1650"/>
    <n v="7.2052401746724888"/>
    <n v="4.0892857142857144"/>
    <n v="6.9393939393939394"/>
  </r>
  <r>
    <x v="3"/>
    <x v="2"/>
    <n v="149"/>
    <n v="6"/>
    <n v="358"/>
    <n v="0.04"/>
    <n v="300"/>
    <n v="0.83798882681564246"/>
    <n v="2.4026845637583891"/>
    <n v="59.666666666666664"/>
  </r>
  <r>
    <x v="4"/>
    <x v="2"/>
    <n v="32"/>
    <n v="32"/>
    <n v="300"/>
    <n v="1"/>
    <n v="1600"/>
    <n v="5.333333333333333"/>
    <n v="9.375"/>
    <n v="9.375"/>
  </r>
  <r>
    <x v="5"/>
    <x v="2"/>
    <n v="147"/>
    <n v="17"/>
    <n v="161"/>
    <n v="0.12"/>
    <n v="850"/>
    <n v="5.2795031055900621"/>
    <n v="1.0952380952380953"/>
    <n v="9.4705882352941178"/>
  </r>
  <r>
    <x v="6"/>
    <x v="2"/>
    <n v="139"/>
    <n v="9"/>
    <n v="565"/>
    <n v="0.06"/>
    <n v="450"/>
    <n v="0.79646017699115046"/>
    <n v="4.0647482014388485"/>
    <n v="62.777777777777779"/>
  </r>
  <r>
    <x v="7"/>
    <x v="2"/>
    <n v="145"/>
    <n v="40"/>
    <n v="271"/>
    <n v="0.28000000000000003"/>
    <n v="2000"/>
    <n v="7.3800738007380078"/>
    <n v="1.8689655172413793"/>
    <n v="6.7750000000000004"/>
  </r>
  <r>
    <x v="8"/>
    <x v="2"/>
    <n v="88"/>
    <n v="41"/>
    <n v="748"/>
    <n v="0.47"/>
    <n v="2050"/>
    <n v="2.7406417112299466"/>
    <n v="8.5"/>
    <n v="18.243902439024389"/>
  </r>
  <r>
    <x v="9"/>
    <x v="2"/>
    <n v="99"/>
    <n v="25"/>
    <n v="1391"/>
    <n v="0.25"/>
    <n v="1250"/>
    <n v="0.89863407620416969"/>
    <n v="14.05050505050505"/>
    <n v="55.64"/>
  </r>
  <r>
    <x v="10"/>
    <x v="2"/>
    <n v="55"/>
    <n v="14"/>
    <n v="923"/>
    <n v="0.25"/>
    <n v="700"/>
    <n v="0.75839653304442034"/>
    <n v="16.781818181818181"/>
    <n v="65.928571428571431"/>
  </r>
  <r>
    <x v="11"/>
    <x v="2"/>
    <n v="79"/>
    <n v="41"/>
    <n v="1138"/>
    <n v="0.52"/>
    <n v="2050"/>
    <n v="1.8014059753954306"/>
    <n v="14.405063291139241"/>
    <n v="27.756097560975611"/>
  </r>
  <r>
    <x v="12"/>
    <x v="2"/>
    <n v="108"/>
    <n v="31"/>
    <n v="1579"/>
    <n v="0.28999999999999998"/>
    <n v="1550"/>
    <n v="0.98163394553514882"/>
    <n v="14.62037037037037"/>
    <n v="50.935483870967744"/>
  </r>
  <r>
    <x v="13"/>
    <x v="2"/>
    <n v="58"/>
    <n v="26"/>
    <n v="429"/>
    <n v="0.45"/>
    <n v="1300"/>
    <n v="3.0303030303030303"/>
    <n v="7.3965517241379306"/>
    <n v="16.5"/>
  </r>
  <r>
    <x v="14"/>
    <x v="2"/>
    <n v="32"/>
    <n v="26"/>
    <n v="119"/>
    <n v="0.81"/>
    <n v="1300"/>
    <n v="10.92436974789916"/>
    <n v="3.71875"/>
    <n v="4.5769230769230766"/>
  </r>
  <r>
    <x v="15"/>
    <x v="2"/>
    <n v="64"/>
    <n v="6"/>
    <n v="1220"/>
    <n v="0.09"/>
    <n v="300"/>
    <n v="0.24590163934426229"/>
    <n v="19.0625"/>
    <n v="203.33333333333334"/>
  </r>
  <r>
    <x v="16"/>
    <x v="2"/>
    <n v="89"/>
    <n v="38"/>
    <n v="1153"/>
    <n v="0.43"/>
    <n v="1900"/>
    <n v="1.647875108412836"/>
    <n v="12.955056179775282"/>
    <n v="30.342105263157894"/>
  </r>
  <r>
    <x v="17"/>
    <x v="2"/>
    <n v="27"/>
    <n v="26"/>
    <n v="806"/>
    <n v="0.96"/>
    <n v="1300"/>
    <n v="1.6129032258064515"/>
    <n v="29.851851851851851"/>
    <n v="31"/>
  </r>
  <r>
    <x v="18"/>
    <x v="2"/>
    <n v="62"/>
    <n v="8"/>
    <n v="1282"/>
    <n v="0.13"/>
    <n v="400"/>
    <n v="0.31201248049921998"/>
    <n v="20.677419354838708"/>
    <n v="160.25"/>
  </r>
  <r>
    <x v="19"/>
    <x v="2"/>
    <n v="33"/>
    <n v="27"/>
    <n v="282"/>
    <n v="0.82"/>
    <n v="1350"/>
    <n v="4.7872340425531918"/>
    <n v="8.545454545454545"/>
    <n v="10.444444444444445"/>
  </r>
  <r>
    <x v="20"/>
    <x v="2"/>
    <n v="133"/>
    <n v="21"/>
    <n v="1824"/>
    <n v="0.16"/>
    <n v="1050"/>
    <n v="0.57565789473684215"/>
    <n v="13.714285714285714"/>
    <n v="86.857142857142861"/>
  </r>
  <r>
    <x v="21"/>
    <x v="2"/>
    <n v="148"/>
    <n v="16"/>
    <n v="398"/>
    <n v="0.11"/>
    <n v="800"/>
    <n v="2.0100502512562812"/>
    <n v="2.689189189189189"/>
    <n v="24.875"/>
  </r>
  <r>
    <x v="22"/>
    <x v="2"/>
    <n v="21"/>
    <n v="13"/>
    <n v="1732"/>
    <n v="0.62"/>
    <n v="650"/>
    <n v="0.37528868360277134"/>
    <n v="82.476190476190482"/>
    <n v="133.23076923076923"/>
  </r>
  <r>
    <x v="23"/>
    <x v="2"/>
    <n v="32"/>
    <n v="48"/>
    <n v="1161"/>
    <n v="1.5"/>
    <n v="2400"/>
    <n v="2.0671834625322996"/>
    <n v="36.28125"/>
    <n v="24.1875"/>
  </r>
  <r>
    <x v="24"/>
    <x v="2"/>
    <n v="106"/>
    <n v="43"/>
    <n v="163"/>
    <n v="0.41"/>
    <n v="2150"/>
    <n v="13.190184049079754"/>
    <n v="1.5377358490566038"/>
    <n v="3.7906976744186047"/>
  </r>
  <r>
    <x v="25"/>
    <x v="2"/>
    <n v="87"/>
    <n v="6"/>
    <n v="202"/>
    <n v="7.0000000000000007E-2"/>
    <n v="300"/>
    <n v="1.4851485148514851"/>
    <n v="2.3218390804597702"/>
    <n v="33.666666666666664"/>
  </r>
  <r>
    <x v="26"/>
    <x v="2"/>
    <n v="104"/>
    <n v="8"/>
    <n v="1176"/>
    <n v="0.08"/>
    <n v="400"/>
    <n v="0.3401360544217687"/>
    <n v="11.307692307692308"/>
    <n v="147"/>
  </r>
  <r>
    <x v="27"/>
    <x v="2"/>
    <n v="40"/>
    <n v="28"/>
    <n v="1823"/>
    <n v="0.7"/>
    <n v="1400"/>
    <n v="0.76796489303346138"/>
    <n v="45.575000000000003"/>
    <n v="65.107142857142861"/>
  </r>
  <r>
    <x v="28"/>
    <x v="2"/>
    <n v="124"/>
    <n v="19"/>
    <n v="1082"/>
    <n v="0.15"/>
    <n v="950"/>
    <n v="0.87800369685767099"/>
    <n v="8.7258064516129039"/>
    <n v="56.94736842105263"/>
  </r>
  <r>
    <x v="29"/>
    <x v="2"/>
    <n v="116"/>
    <n v="42"/>
    <n v="589"/>
    <n v="0.36"/>
    <n v="2100"/>
    <n v="3.5653650254668929"/>
    <n v="5.0775862068965516"/>
    <n v="14.023809523809524"/>
  </r>
  <r>
    <x v="30"/>
    <x v="2"/>
    <n v="129"/>
    <n v="23"/>
    <n v="1819"/>
    <n v="0.18"/>
    <n v="1150"/>
    <n v="0.63221550302363938"/>
    <n v="14.10077519379845"/>
    <n v="79.086956521739125"/>
  </r>
  <r>
    <x v="31"/>
    <x v="2"/>
    <n v="94"/>
    <n v="6"/>
    <n v="656"/>
    <n v="0.06"/>
    <n v="300"/>
    <n v="0.45731707317073172"/>
    <n v="6.9787234042553195"/>
    <n v="109.33333333333333"/>
  </r>
  <r>
    <x v="32"/>
    <x v="2"/>
    <n v="73"/>
    <n v="33"/>
    <n v="444"/>
    <n v="0.45"/>
    <n v="1650"/>
    <n v="3.7162162162162162"/>
    <n v="6.0821917808219181"/>
    <n v="13.454545454545455"/>
  </r>
  <r>
    <x v="33"/>
    <x v="2"/>
    <n v="85"/>
    <n v="28"/>
    <n v="210"/>
    <n v="0.33"/>
    <n v="1400"/>
    <n v="6.666666666666667"/>
    <n v="2.4705882352941178"/>
    <n v="7.5"/>
  </r>
  <r>
    <x v="34"/>
    <x v="2"/>
    <n v="66"/>
    <n v="22"/>
    <n v="841"/>
    <n v="0.33"/>
    <n v="1100"/>
    <n v="1.3079667063020215"/>
    <n v="12.742424242424242"/>
    <n v="38.227272727272727"/>
  </r>
  <r>
    <x v="35"/>
    <x v="2"/>
    <n v="100"/>
    <n v="39"/>
    <n v="1641"/>
    <n v="0.39"/>
    <n v="1950"/>
    <n v="1.1882998171846435"/>
    <n v="16.41"/>
    <n v="42.07692307692308"/>
  </r>
  <r>
    <x v="36"/>
    <x v="2"/>
    <n v="41"/>
    <n v="29"/>
    <n v="1672"/>
    <n v="0.71"/>
    <n v="1450"/>
    <n v="0.86722488038277512"/>
    <n v="40.780487804878049"/>
    <n v="57.655172413793103"/>
  </r>
  <r>
    <x v="37"/>
    <x v="2"/>
    <n v="91"/>
    <n v="13"/>
    <n v="1626"/>
    <n v="0.14000000000000001"/>
    <n v="650"/>
    <n v="0.39975399753997543"/>
    <n v="17.868131868131869"/>
    <n v="125.07692307692308"/>
  </r>
  <r>
    <x v="38"/>
    <x v="2"/>
    <n v="74"/>
    <n v="22"/>
    <n v="1135"/>
    <n v="0.3"/>
    <n v="1100"/>
    <n v="0.96916299559471364"/>
    <n v="15.337837837837839"/>
    <n v="51.590909090909093"/>
  </r>
  <r>
    <x v="39"/>
    <x v="2"/>
    <n v="48"/>
    <n v="21"/>
    <n v="1312"/>
    <n v="0.44"/>
    <n v="1050"/>
    <n v="0.80030487804878048"/>
    <n v="27.333333333333332"/>
    <n v="62.476190476190474"/>
  </r>
  <r>
    <x v="40"/>
    <x v="2"/>
    <n v="43"/>
    <n v="24"/>
    <n v="1129"/>
    <n v="0.56000000000000005"/>
    <n v="1200"/>
    <n v="1.0628875110717448"/>
    <n v="26.255813953488371"/>
    <n v="47.041666666666664"/>
  </r>
  <r>
    <x v="41"/>
    <x v="2"/>
    <n v="74"/>
    <n v="37"/>
    <n v="1471"/>
    <n v="0.5"/>
    <n v="1850"/>
    <n v="1.2576478585995921"/>
    <n v="19.878378378378379"/>
    <n v="39.756756756756758"/>
  </r>
  <r>
    <x v="42"/>
    <x v="2"/>
    <n v="41"/>
    <n v="14"/>
    <n v="570"/>
    <n v="0.34"/>
    <n v="700"/>
    <n v="1.2280701754385965"/>
    <n v="13.902439024390244"/>
    <n v="40.714285714285715"/>
  </r>
  <r>
    <x v="43"/>
    <x v="2"/>
    <n v="42"/>
    <n v="40"/>
    <n v="109"/>
    <n v="0.95"/>
    <n v="2000"/>
    <n v="18.348623853211009"/>
    <n v="2.5952380952380953"/>
    <n v="2.7250000000000001"/>
  </r>
  <r>
    <x v="44"/>
    <x v="2"/>
    <n v="110"/>
    <n v="24"/>
    <n v="354"/>
    <n v="0.22"/>
    <n v="1200"/>
    <n v="3.3898305084745761"/>
    <n v="3.2181818181818183"/>
    <n v="14.75"/>
  </r>
  <r>
    <x v="45"/>
    <x v="2"/>
    <n v="26"/>
    <n v="42"/>
    <n v="1636"/>
    <n v="1.62"/>
    <n v="2100"/>
    <n v="1.2836185819070904"/>
    <n v="62.92307692307692"/>
    <n v="38.952380952380949"/>
  </r>
  <r>
    <x v="46"/>
    <x v="2"/>
    <n v="39"/>
    <n v="47"/>
    <n v="636"/>
    <n v="1.21"/>
    <n v="2350"/>
    <n v="3.6949685534591197"/>
    <n v="16.307692307692307"/>
    <n v="13.531914893617021"/>
  </r>
  <r>
    <x v="47"/>
    <x v="2"/>
    <n v="50"/>
    <n v="13"/>
    <n v="1434"/>
    <n v="0.26"/>
    <n v="650"/>
    <n v="0.45327754532775455"/>
    <n v="28.68"/>
    <n v="110.30769230769231"/>
  </r>
  <r>
    <x v="48"/>
    <x v="2"/>
    <n v="116"/>
    <n v="21"/>
    <n v="1265"/>
    <n v="0.18"/>
    <n v="1050"/>
    <n v="0.83003952569169959"/>
    <n v="10.905172413793103"/>
    <n v="60.238095238095241"/>
  </r>
  <r>
    <x v="49"/>
    <x v="2"/>
    <n v="39"/>
    <n v="9"/>
    <n v="342"/>
    <n v="0.23"/>
    <n v="450"/>
    <n v="1.3157894736842106"/>
    <n v="8.7692307692307701"/>
    <n v="38"/>
  </r>
  <r>
    <x v="50"/>
    <x v="2"/>
    <n v="48"/>
    <n v="15"/>
    <n v="1091"/>
    <n v="0.31"/>
    <n v="750"/>
    <n v="0.68744271310724103"/>
    <n v="22.729166666666668"/>
    <n v="72.733333333333334"/>
  </r>
  <r>
    <x v="51"/>
    <x v="2"/>
    <n v="34"/>
    <n v="25"/>
    <n v="1013"/>
    <n v="0.74"/>
    <n v="1250"/>
    <n v="1.2339585389930898"/>
    <n v="29.794117647058822"/>
    <n v="40.520000000000003"/>
  </r>
  <r>
    <x v="52"/>
    <x v="2"/>
    <n v="118"/>
    <n v="34"/>
    <n v="506"/>
    <n v="0.28999999999999998"/>
    <n v="1700"/>
    <n v="3.3596837944664033"/>
    <n v="4.2881355932203391"/>
    <n v="14.882352941176471"/>
  </r>
  <r>
    <x v="53"/>
    <x v="2"/>
    <n v="67"/>
    <n v="6"/>
    <n v="770"/>
    <n v="0.09"/>
    <n v="300"/>
    <n v="0.38961038961038963"/>
    <n v="11.492537313432836"/>
    <n v="128.33333333333334"/>
  </r>
  <r>
    <x v="54"/>
    <x v="2"/>
    <n v="43"/>
    <n v="31"/>
    <n v="1927"/>
    <n v="0.72"/>
    <n v="1550"/>
    <n v="0.80435910742086147"/>
    <n v="44.813953488372093"/>
    <n v="62.161290322580648"/>
  </r>
  <r>
    <x v="55"/>
    <x v="2"/>
    <n v="72"/>
    <n v="37"/>
    <n v="1448"/>
    <n v="0.51"/>
    <n v="1850"/>
    <n v="1.2776243093922652"/>
    <n v="20.111111111111111"/>
    <n v="39.135135135135137"/>
  </r>
  <r>
    <x v="56"/>
    <x v="2"/>
    <n v="34"/>
    <n v="19"/>
    <n v="1405"/>
    <n v="0.56000000000000005"/>
    <n v="950"/>
    <n v="0.67615658362989328"/>
    <n v="41.323529411764703"/>
    <n v="73.94736842105263"/>
  </r>
  <r>
    <x v="57"/>
    <x v="2"/>
    <n v="38"/>
    <n v="36"/>
    <n v="1869"/>
    <n v="0.95"/>
    <n v="1800"/>
    <n v="0.96308186195826651"/>
    <n v="49.184210526315788"/>
    <n v="51.916666666666664"/>
  </r>
  <r>
    <x v="58"/>
    <x v="2"/>
    <n v="78"/>
    <n v="46"/>
    <n v="754"/>
    <n v="0.59"/>
    <n v="2300"/>
    <n v="3.0503978779840848"/>
    <n v="9.6666666666666661"/>
    <n v="16.391304347826086"/>
  </r>
  <r>
    <x v="59"/>
    <x v="2"/>
    <n v="51"/>
    <n v="28"/>
    <n v="1214"/>
    <n v="0.55000000000000004"/>
    <n v="1400"/>
    <n v="1.1532125205930808"/>
    <n v="23.803921568627452"/>
    <n v="43.357142857142854"/>
  </r>
  <r>
    <x v="60"/>
    <x v="2"/>
    <n v="99"/>
    <n v="21"/>
    <n v="1143"/>
    <n v="0.21"/>
    <n v="1050"/>
    <n v="0.9186351706036745"/>
    <n v="11.545454545454545"/>
    <n v="54.428571428571431"/>
  </r>
  <r>
    <x v="61"/>
    <x v="2"/>
    <n v="102"/>
    <n v="8"/>
    <n v="1236"/>
    <n v="0.08"/>
    <n v="400"/>
    <n v="0.32362459546925565"/>
    <n v="12.117647058823529"/>
    <n v="154.5"/>
  </r>
  <r>
    <x v="62"/>
    <x v="2"/>
    <n v="46"/>
    <n v="43"/>
    <n v="1509"/>
    <n v="0.93"/>
    <n v="2150"/>
    <n v="1.4247846255798542"/>
    <n v="32.804347826086953"/>
    <n v="35.093023255813954"/>
  </r>
  <r>
    <x v="63"/>
    <x v="2"/>
    <n v="147"/>
    <n v="46"/>
    <n v="1243"/>
    <n v="0.31"/>
    <n v="2300"/>
    <n v="1.8503620273531778"/>
    <n v="8.4557823129251695"/>
    <n v="27.021739130434781"/>
  </r>
  <r>
    <x v="64"/>
    <x v="2"/>
    <n v="106"/>
    <n v="42"/>
    <n v="1444"/>
    <n v="0.4"/>
    <n v="2100"/>
    <n v="1.4542936288088644"/>
    <n v="13.622641509433961"/>
    <n v="34.38095238095238"/>
  </r>
  <r>
    <x v="65"/>
    <x v="2"/>
    <n v="55"/>
    <n v="30"/>
    <n v="1462"/>
    <n v="0.55000000000000004"/>
    <n v="1500"/>
    <n v="1.0259917920656634"/>
    <n v="26.581818181818182"/>
    <n v="48.733333333333334"/>
  </r>
  <r>
    <x v="66"/>
    <x v="2"/>
    <n v="38"/>
    <n v="19"/>
    <n v="558"/>
    <n v="0.5"/>
    <n v="950"/>
    <n v="1.7025089605734767"/>
    <n v="14.684210526315789"/>
    <n v="29.368421052631579"/>
  </r>
  <r>
    <x v="67"/>
    <x v="2"/>
    <n v="122"/>
    <n v="39"/>
    <n v="227"/>
    <n v="0.32"/>
    <n v="1950"/>
    <n v="8.5903083700440526"/>
    <n v="1.860655737704918"/>
    <n v="5.8205128205128203"/>
  </r>
  <r>
    <x v="68"/>
    <x v="2"/>
    <n v="139"/>
    <n v="17"/>
    <n v="823"/>
    <n v="0.12"/>
    <n v="850"/>
    <n v="1.0328068043742407"/>
    <n v="5.9208633093525176"/>
    <n v="48.411764705882355"/>
  </r>
  <r>
    <x v="69"/>
    <x v="2"/>
    <n v="46"/>
    <n v="42"/>
    <n v="1603"/>
    <n v="0.91"/>
    <n v="2100"/>
    <n v="1.3100436681222707"/>
    <n v="34.847826086956523"/>
    <n v="38.166666666666664"/>
  </r>
  <r>
    <x v="70"/>
    <x v="2"/>
    <n v="70"/>
    <n v="48"/>
    <n v="509"/>
    <n v="0.69"/>
    <n v="2400"/>
    <n v="4.7151277013752457"/>
    <n v="7.2714285714285714"/>
    <n v="10.604166666666666"/>
  </r>
  <r>
    <x v="71"/>
    <x v="2"/>
    <n v="101"/>
    <n v="17"/>
    <n v="808"/>
    <n v="0.17"/>
    <n v="850"/>
    <n v="1.051980198019802"/>
    <n v="8"/>
    <n v="47.529411764705884"/>
  </r>
  <r>
    <x v="72"/>
    <x v="2"/>
    <n v="146"/>
    <n v="18"/>
    <n v="637"/>
    <n v="0.12"/>
    <n v="900"/>
    <n v="1.4128728414442699"/>
    <n v="4.3630136986301373"/>
    <n v="35.388888888888886"/>
  </r>
  <r>
    <x v="73"/>
    <x v="2"/>
    <n v="27"/>
    <n v="37"/>
    <n v="101"/>
    <n v="1.37"/>
    <n v="1850"/>
    <n v="18.316831683168317"/>
    <n v="3.7407407407407409"/>
    <n v="2.7297297297297298"/>
  </r>
  <r>
    <x v="74"/>
    <x v="2"/>
    <n v="132"/>
    <n v="17"/>
    <n v="142"/>
    <n v="0.13"/>
    <n v="850"/>
    <n v="5.9859154929577461"/>
    <n v="1.0757575757575757"/>
    <n v="8.3529411764705888"/>
  </r>
  <r>
    <x v="75"/>
    <x v="2"/>
    <n v="83"/>
    <n v="46"/>
    <n v="1398"/>
    <n v="0.55000000000000004"/>
    <n v="2300"/>
    <n v="1.6452074391988556"/>
    <n v="16.843373493975903"/>
    <n v="30.391304347826086"/>
  </r>
  <r>
    <x v="76"/>
    <x v="2"/>
    <n v="115"/>
    <n v="33"/>
    <n v="1460"/>
    <n v="0.28999999999999998"/>
    <n v="1650"/>
    <n v="1.1301369863013699"/>
    <n v="12.695652173913043"/>
    <n v="44.242424242424242"/>
  </r>
  <r>
    <x v="77"/>
    <x v="2"/>
    <n v="111"/>
    <n v="32"/>
    <n v="1953"/>
    <n v="0.28999999999999998"/>
    <n v="1600"/>
    <n v="0.81925243215565802"/>
    <n v="17.594594594594593"/>
    <n v="61.03125"/>
  </r>
  <r>
    <x v="78"/>
    <x v="2"/>
    <n v="121"/>
    <n v="46"/>
    <n v="301"/>
    <n v="0.38"/>
    <n v="2300"/>
    <n v="7.6411960132890364"/>
    <n v="2.4876033057851239"/>
    <n v="6.5434782608695654"/>
  </r>
  <r>
    <x v="79"/>
    <x v="2"/>
    <n v="54"/>
    <n v="36"/>
    <n v="758"/>
    <n v="0.67"/>
    <n v="1800"/>
    <n v="2.3746701846965701"/>
    <n v="14.037037037037036"/>
    <n v="21.055555555555557"/>
  </r>
  <r>
    <x v="80"/>
    <x v="2"/>
    <n v="41"/>
    <n v="45"/>
    <n v="1722"/>
    <n v="1.1000000000000001"/>
    <n v="2250"/>
    <n v="1.3066202090592334"/>
    <n v="42"/>
    <n v="38.266666666666666"/>
  </r>
  <r>
    <x v="81"/>
    <x v="2"/>
    <n v="90"/>
    <n v="11"/>
    <n v="443"/>
    <n v="0.12"/>
    <n v="550"/>
    <n v="1.2415349887133182"/>
    <n v="4.9222222222222225"/>
    <n v="40.272727272727273"/>
  </r>
  <r>
    <x v="82"/>
    <x v="2"/>
    <n v="148"/>
    <n v="5"/>
    <n v="1933"/>
    <n v="0.03"/>
    <n v="250"/>
    <n v="0.12933264355923435"/>
    <n v="13.060810810810811"/>
    <n v="386.6"/>
  </r>
  <r>
    <x v="83"/>
    <x v="2"/>
    <n v="127"/>
    <n v="46"/>
    <n v="1564"/>
    <n v="0.36"/>
    <n v="2300"/>
    <n v="1.4705882352941178"/>
    <n v="12.314960629921259"/>
    <n v="34"/>
  </r>
  <r>
    <x v="84"/>
    <x v="2"/>
    <n v="35"/>
    <n v="40"/>
    <n v="511"/>
    <n v="1.1399999999999999"/>
    <n v="2000"/>
    <n v="3.9138943248532287"/>
    <n v="14.6"/>
    <n v="12.775"/>
  </r>
  <r>
    <x v="85"/>
    <x v="2"/>
    <n v="77"/>
    <n v="11"/>
    <n v="153"/>
    <n v="0.14000000000000001"/>
    <n v="550"/>
    <n v="3.5947712418300655"/>
    <n v="1.9870129870129871"/>
    <n v="13.909090909090908"/>
  </r>
  <r>
    <x v="86"/>
    <x v="2"/>
    <n v="145"/>
    <n v="46"/>
    <n v="314"/>
    <n v="0.32"/>
    <n v="2300"/>
    <n v="7.3248407643312099"/>
    <n v="2.1655172413793102"/>
    <n v="6.8260869565217392"/>
  </r>
  <r>
    <x v="87"/>
    <x v="2"/>
    <n v="26"/>
    <n v="43"/>
    <n v="1715"/>
    <n v="1.65"/>
    <n v="2150"/>
    <n v="1.2536443148688046"/>
    <n v="65.961538461538467"/>
    <n v="39.883720930232556"/>
  </r>
  <r>
    <x v="88"/>
    <x v="2"/>
    <n v="103"/>
    <n v="47"/>
    <n v="360"/>
    <n v="0.46"/>
    <n v="2350"/>
    <n v="6.5277777777777777"/>
    <n v="3.4951456310679609"/>
    <n v="7.6595744680851068"/>
  </r>
  <r>
    <x v="89"/>
    <x v="2"/>
    <n v="53"/>
    <n v="34"/>
    <n v="392"/>
    <n v="0.64"/>
    <n v="1700"/>
    <n v="4.3367346938775508"/>
    <n v="7.3962264150943398"/>
    <n v="11.529411764705882"/>
  </r>
  <r>
    <x v="0"/>
    <x v="3"/>
    <n v="36"/>
    <n v="49"/>
    <n v="1252"/>
    <n v="1.36"/>
    <n v="2450"/>
    <n v="1.9568690095846646"/>
    <n v="34.777777777777779"/>
    <n v="25.551020408163264"/>
  </r>
  <r>
    <x v="1"/>
    <x v="3"/>
    <n v="110"/>
    <n v="40"/>
    <n v="1417"/>
    <n v="0.36"/>
    <n v="2000"/>
    <n v="1.4114326040931546"/>
    <n v="12.881818181818181"/>
    <n v="35.424999999999997"/>
  </r>
  <r>
    <x v="2"/>
    <x v="3"/>
    <n v="136"/>
    <n v="34"/>
    <n v="1091"/>
    <n v="0.25"/>
    <n v="1700"/>
    <n v="1.5582034830430798"/>
    <n v="8.0220588235294112"/>
    <n v="32.088235294117645"/>
  </r>
  <r>
    <x v="3"/>
    <x v="3"/>
    <n v="124"/>
    <n v="26"/>
    <n v="1075"/>
    <n v="0.21"/>
    <n v="1300"/>
    <n v="1.2093023255813953"/>
    <n v="8.6693548387096779"/>
    <n v="41.346153846153847"/>
  </r>
  <r>
    <x v="4"/>
    <x v="3"/>
    <n v="122"/>
    <n v="48"/>
    <n v="837"/>
    <n v="0.39"/>
    <n v="2400"/>
    <n v="2.8673835125448028"/>
    <n v="6.860655737704918"/>
    <n v="17.4375"/>
  </r>
  <r>
    <x v="5"/>
    <x v="3"/>
    <n v="95"/>
    <n v="47"/>
    <n v="1939"/>
    <n v="0.49"/>
    <n v="2350"/>
    <n v="1.2119649303764828"/>
    <n v="20.410526315789475"/>
    <n v="41.255319148936174"/>
  </r>
  <r>
    <x v="6"/>
    <x v="3"/>
    <n v="82"/>
    <n v="27"/>
    <n v="1928"/>
    <n v="0.33"/>
    <n v="1350"/>
    <n v="0.700207468879668"/>
    <n v="23.512195121951219"/>
    <n v="71.407407407407405"/>
  </r>
  <r>
    <x v="7"/>
    <x v="3"/>
    <n v="122"/>
    <n v="11"/>
    <n v="596"/>
    <n v="0.09"/>
    <n v="550"/>
    <n v="0.92281879194630867"/>
    <n v="4.8852459016393439"/>
    <n v="54.18181818181818"/>
  </r>
  <r>
    <x v="8"/>
    <x v="3"/>
    <n v="69"/>
    <n v="36"/>
    <n v="1740"/>
    <n v="0.52"/>
    <n v="1800"/>
    <n v="1.0344827586206897"/>
    <n v="25.217391304347824"/>
    <n v="48.333333333333336"/>
  </r>
  <r>
    <x v="9"/>
    <x v="3"/>
    <n v="38"/>
    <n v="11"/>
    <n v="442"/>
    <n v="0.28999999999999998"/>
    <n v="550"/>
    <n v="1.244343891402715"/>
    <n v="11.631578947368421"/>
    <n v="40.18181818181818"/>
  </r>
  <r>
    <x v="10"/>
    <x v="3"/>
    <n v="22"/>
    <n v="27"/>
    <n v="825"/>
    <n v="1.23"/>
    <n v="1350"/>
    <n v="1.6363636363636365"/>
    <n v="37.5"/>
    <n v="30.555555555555557"/>
  </r>
  <r>
    <x v="11"/>
    <x v="3"/>
    <n v="141"/>
    <n v="5"/>
    <n v="101"/>
    <n v="0.04"/>
    <n v="250"/>
    <n v="2.4752475247524752"/>
    <n v="0.71631205673758869"/>
    <n v="20.2"/>
  </r>
  <r>
    <x v="12"/>
    <x v="3"/>
    <n v="21"/>
    <n v="25"/>
    <n v="1640"/>
    <n v="1.19"/>
    <n v="1250"/>
    <n v="0.76219512195121952"/>
    <n v="78.095238095238102"/>
    <n v="65.599999999999994"/>
  </r>
  <r>
    <x v="13"/>
    <x v="3"/>
    <n v="20"/>
    <n v="15"/>
    <n v="516"/>
    <n v="0.75"/>
    <n v="750"/>
    <n v="1.4534883720930232"/>
    <n v="25.8"/>
    <n v="34.4"/>
  </r>
  <r>
    <x v="14"/>
    <x v="3"/>
    <n v="54"/>
    <n v="25"/>
    <n v="596"/>
    <n v="0.46"/>
    <n v="1250"/>
    <n v="2.0973154362416109"/>
    <n v="11.037037037037036"/>
    <n v="23.84"/>
  </r>
  <r>
    <x v="15"/>
    <x v="3"/>
    <n v="31"/>
    <n v="39"/>
    <n v="249"/>
    <n v="1.26"/>
    <n v="1950"/>
    <n v="7.831325301204819"/>
    <n v="8.0322580645161299"/>
    <n v="6.384615384615385"/>
  </r>
  <r>
    <x v="16"/>
    <x v="3"/>
    <n v="128"/>
    <n v="39"/>
    <n v="1389"/>
    <n v="0.3"/>
    <n v="1950"/>
    <n v="1.4038876889848813"/>
    <n v="10.8515625"/>
    <n v="35.615384615384613"/>
  </r>
  <r>
    <x v="17"/>
    <x v="3"/>
    <n v="101"/>
    <n v="10"/>
    <n v="1711"/>
    <n v="0.1"/>
    <n v="500"/>
    <n v="0.29222676797194624"/>
    <n v="16.940594059405942"/>
    <n v="171.1"/>
  </r>
  <r>
    <x v="18"/>
    <x v="3"/>
    <n v="93"/>
    <n v="42"/>
    <n v="245"/>
    <n v="0.45"/>
    <n v="2100"/>
    <n v="8.5714285714285712"/>
    <n v="2.6344086021505375"/>
    <n v="5.833333333333333"/>
  </r>
  <r>
    <x v="19"/>
    <x v="3"/>
    <n v="39"/>
    <n v="32"/>
    <n v="759"/>
    <n v="0.82"/>
    <n v="1600"/>
    <n v="2.1080368906455864"/>
    <n v="19.46153846153846"/>
    <n v="23.71875"/>
  </r>
  <r>
    <x v="20"/>
    <x v="3"/>
    <n v="92"/>
    <n v="47"/>
    <n v="1388"/>
    <n v="0.51"/>
    <n v="2350"/>
    <n v="1.6930835734870318"/>
    <n v="15.086956521739131"/>
    <n v="29.531914893617021"/>
  </r>
  <r>
    <x v="21"/>
    <x v="3"/>
    <n v="66"/>
    <n v="5"/>
    <n v="1564"/>
    <n v="0.08"/>
    <n v="250"/>
    <n v="0.15984654731457801"/>
    <n v="23.696969696969695"/>
    <n v="312.8"/>
  </r>
  <r>
    <x v="22"/>
    <x v="3"/>
    <n v="109"/>
    <n v="15"/>
    <n v="1720"/>
    <n v="0.14000000000000001"/>
    <n v="750"/>
    <n v="0.43604651162790697"/>
    <n v="15.779816513761467"/>
    <n v="114.66666666666667"/>
  </r>
  <r>
    <x v="23"/>
    <x v="3"/>
    <n v="130"/>
    <n v="48"/>
    <n v="1332"/>
    <n v="0.37"/>
    <n v="2400"/>
    <n v="1.8018018018018018"/>
    <n v="10.246153846153845"/>
    <n v="27.75"/>
  </r>
  <r>
    <x v="24"/>
    <x v="3"/>
    <n v="37"/>
    <n v="41"/>
    <n v="1669"/>
    <n v="1.1100000000000001"/>
    <n v="2050"/>
    <n v="1.2282804074295985"/>
    <n v="45.108108108108105"/>
    <n v="40.707317073170735"/>
  </r>
  <r>
    <x v="25"/>
    <x v="3"/>
    <n v="50"/>
    <n v="12"/>
    <n v="601"/>
    <n v="0.24"/>
    <n v="600"/>
    <n v="0.99833610648918469"/>
    <n v="12.02"/>
    <n v="50.083333333333336"/>
  </r>
  <r>
    <x v="26"/>
    <x v="3"/>
    <n v="88"/>
    <n v="44"/>
    <n v="1881"/>
    <n v="0.5"/>
    <n v="2200"/>
    <n v="1.1695906432748537"/>
    <n v="21.375"/>
    <n v="42.75"/>
  </r>
  <r>
    <x v="27"/>
    <x v="3"/>
    <n v="86"/>
    <n v="37"/>
    <n v="1029"/>
    <n v="0.43"/>
    <n v="1850"/>
    <n v="1.7978620019436347"/>
    <n v="11.965116279069768"/>
    <n v="27.810810810810811"/>
  </r>
  <r>
    <x v="28"/>
    <x v="3"/>
    <n v="136"/>
    <n v="21"/>
    <n v="445"/>
    <n v="0.15"/>
    <n v="1050"/>
    <n v="2.3595505617977528"/>
    <n v="3.2720588235294117"/>
    <n v="21.19047619047619"/>
  </r>
  <r>
    <x v="29"/>
    <x v="3"/>
    <n v="133"/>
    <n v="6"/>
    <n v="1864"/>
    <n v="0.05"/>
    <n v="300"/>
    <n v="0.1609442060085837"/>
    <n v="14.015037593984962"/>
    <n v="310.66666666666669"/>
  </r>
  <r>
    <x v="30"/>
    <x v="3"/>
    <n v="30"/>
    <n v="37"/>
    <n v="109"/>
    <n v="1.23"/>
    <n v="1850"/>
    <n v="16.972477064220183"/>
    <n v="3.6333333333333333"/>
    <n v="2.9459459459459461"/>
  </r>
  <r>
    <x v="31"/>
    <x v="3"/>
    <n v="59"/>
    <n v="41"/>
    <n v="1762"/>
    <n v="0.69"/>
    <n v="2050"/>
    <n v="1.1634506242905789"/>
    <n v="29.864406779661017"/>
    <n v="42.975609756097562"/>
  </r>
  <r>
    <x v="32"/>
    <x v="3"/>
    <n v="83"/>
    <n v="35"/>
    <n v="1990"/>
    <n v="0.42"/>
    <n v="1750"/>
    <n v="0.87939698492462315"/>
    <n v="23.975903614457831"/>
    <n v="56.857142857142854"/>
  </r>
  <r>
    <x v="33"/>
    <x v="3"/>
    <n v="99"/>
    <n v="15"/>
    <n v="1050"/>
    <n v="0.15"/>
    <n v="750"/>
    <n v="0.7142857142857143"/>
    <n v="10.606060606060606"/>
    <n v="70"/>
  </r>
  <r>
    <x v="34"/>
    <x v="3"/>
    <n v="46"/>
    <n v="37"/>
    <n v="1563"/>
    <n v="0.8"/>
    <n v="1850"/>
    <n v="1.1836212412028151"/>
    <n v="33.978260869565219"/>
    <n v="42.243243243243242"/>
  </r>
  <r>
    <x v="35"/>
    <x v="3"/>
    <n v="56"/>
    <n v="27"/>
    <n v="1497"/>
    <n v="0.48"/>
    <n v="1350"/>
    <n v="0.90180360721442887"/>
    <n v="26.732142857142858"/>
    <n v="55.444444444444443"/>
  </r>
  <r>
    <x v="36"/>
    <x v="3"/>
    <n v="77"/>
    <n v="6"/>
    <n v="1670"/>
    <n v="0.08"/>
    <n v="300"/>
    <n v="0.17964071856287425"/>
    <n v="21.688311688311689"/>
    <n v="278.33333333333331"/>
  </r>
  <r>
    <x v="37"/>
    <x v="3"/>
    <n v="36"/>
    <n v="39"/>
    <n v="1623"/>
    <n v="1.08"/>
    <n v="1950"/>
    <n v="1.201478743068392"/>
    <n v="45.083333333333336"/>
    <n v="41.615384615384613"/>
  </r>
  <r>
    <x v="38"/>
    <x v="3"/>
    <n v="84"/>
    <n v="31"/>
    <n v="1205"/>
    <n v="0.37"/>
    <n v="1550"/>
    <n v="1.2863070539419088"/>
    <n v="14.345238095238095"/>
    <n v="38.87096774193548"/>
  </r>
  <r>
    <x v="39"/>
    <x v="3"/>
    <n v="142"/>
    <n v="38"/>
    <n v="373"/>
    <n v="0.27"/>
    <n v="1900"/>
    <n v="5.0938337801608577"/>
    <n v="2.6267605633802815"/>
    <n v="9.8157894736842106"/>
  </r>
  <r>
    <x v="40"/>
    <x v="3"/>
    <n v="28"/>
    <n v="7"/>
    <n v="1409"/>
    <n v="0.25"/>
    <n v="350"/>
    <n v="0.24840312278211499"/>
    <n v="50.321428571428569"/>
    <n v="201.28571428571428"/>
  </r>
  <r>
    <x v="41"/>
    <x v="3"/>
    <n v="125"/>
    <n v="29"/>
    <n v="1076"/>
    <n v="0.23"/>
    <n v="1450"/>
    <n v="1.3475836431226766"/>
    <n v="8.6080000000000005"/>
    <n v="37.103448275862071"/>
  </r>
  <r>
    <x v="42"/>
    <x v="3"/>
    <n v="31"/>
    <n v="9"/>
    <n v="371"/>
    <n v="0.28999999999999998"/>
    <n v="450"/>
    <n v="1.2129380053908356"/>
    <n v="11.96774193548387"/>
    <n v="41.222222222222221"/>
  </r>
  <r>
    <x v="43"/>
    <x v="3"/>
    <n v="89"/>
    <n v="42"/>
    <n v="1984"/>
    <n v="0.47"/>
    <n v="2100"/>
    <n v="1.0584677419354838"/>
    <n v="22.292134831460675"/>
    <n v="47.238095238095241"/>
  </r>
  <r>
    <x v="44"/>
    <x v="3"/>
    <n v="81"/>
    <n v="40"/>
    <n v="352"/>
    <n v="0.49"/>
    <n v="2000"/>
    <n v="5.6818181818181817"/>
    <n v="4.3456790123456788"/>
    <n v="8.8000000000000007"/>
  </r>
  <r>
    <x v="45"/>
    <x v="3"/>
    <n v="26"/>
    <n v="26"/>
    <n v="750"/>
    <n v="1"/>
    <n v="1300"/>
    <n v="1.7333333333333334"/>
    <n v="28.846153846153847"/>
    <n v="28.846153846153847"/>
  </r>
  <r>
    <x v="46"/>
    <x v="3"/>
    <n v="142"/>
    <n v="21"/>
    <n v="209"/>
    <n v="0.15"/>
    <n v="1050"/>
    <n v="5.0239234449760763"/>
    <n v="1.471830985915493"/>
    <n v="9.9523809523809526"/>
  </r>
  <r>
    <x v="47"/>
    <x v="3"/>
    <n v="126"/>
    <n v="30"/>
    <n v="1006"/>
    <n v="0.24"/>
    <n v="1500"/>
    <n v="1.4910536779324055"/>
    <n v="7.9841269841269842"/>
    <n v="33.533333333333331"/>
  </r>
  <r>
    <x v="48"/>
    <x v="3"/>
    <n v="50"/>
    <n v="25"/>
    <n v="1748"/>
    <n v="0.5"/>
    <n v="1250"/>
    <n v="0.71510297482837526"/>
    <n v="34.96"/>
    <n v="69.92"/>
  </r>
  <r>
    <x v="49"/>
    <x v="3"/>
    <n v="37"/>
    <n v="49"/>
    <n v="942"/>
    <n v="1.32"/>
    <n v="2450"/>
    <n v="2.6008492569002124"/>
    <n v="25.45945945945946"/>
    <n v="19.224489795918366"/>
  </r>
  <r>
    <x v="50"/>
    <x v="3"/>
    <n v="88"/>
    <n v="28"/>
    <n v="1047"/>
    <n v="0.32"/>
    <n v="1400"/>
    <n v="1.3371537726838587"/>
    <n v="11.897727272727273"/>
    <n v="37.392857142857146"/>
  </r>
  <r>
    <x v="51"/>
    <x v="3"/>
    <n v="140"/>
    <n v="36"/>
    <n v="1903"/>
    <n v="0.26"/>
    <n v="1800"/>
    <n v="0.94587493431424063"/>
    <n v="13.592857142857143"/>
    <n v="52.861111111111114"/>
  </r>
  <r>
    <x v="52"/>
    <x v="3"/>
    <n v="28"/>
    <n v="11"/>
    <n v="1260"/>
    <n v="0.39"/>
    <n v="550"/>
    <n v="0.43650793650793651"/>
    <n v="45"/>
    <n v="114.54545454545455"/>
  </r>
  <r>
    <x v="53"/>
    <x v="3"/>
    <n v="148"/>
    <n v="36"/>
    <n v="1001"/>
    <n v="0.24"/>
    <n v="1800"/>
    <n v="1.7982017982017982"/>
    <n v="6.7635135135135132"/>
    <n v="27.805555555555557"/>
  </r>
  <r>
    <x v="54"/>
    <x v="3"/>
    <n v="134"/>
    <n v="27"/>
    <n v="283"/>
    <n v="0.2"/>
    <n v="1350"/>
    <n v="4.7703180212014136"/>
    <n v="2.1119402985074629"/>
    <n v="10.481481481481481"/>
  </r>
  <r>
    <x v="55"/>
    <x v="3"/>
    <n v="80"/>
    <n v="26"/>
    <n v="1152"/>
    <n v="0.32"/>
    <n v="1300"/>
    <n v="1.1284722222222223"/>
    <n v="14.4"/>
    <n v="44.307692307692307"/>
  </r>
  <r>
    <x v="56"/>
    <x v="3"/>
    <n v="78"/>
    <n v="27"/>
    <n v="1650"/>
    <n v="0.35"/>
    <n v="1350"/>
    <n v="0.81818181818181823"/>
    <n v="21.153846153846153"/>
    <n v="61.111111111111114"/>
  </r>
  <r>
    <x v="57"/>
    <x v="3"/>
    <n v="122"/>
    <n v="14"/>
    <n v="518"/>
    <n v="0.11"/>
    <n v="700"/>
    <n v="1.3513513513513513"/>
    <n v="4.2459016393442619"/>
    <n v="37"/>
  </r>
  <r>
    <x v="58"/>
    <x v="3"/>
    <n v="71"/>
    <n v="45"/>
    <n v="338"/>
    <n v="0.63"/>
    <n v="2250"/>
    <n v="6.6568047337278102"/>
    <n v="4.76056338028169"/>
    <n v="7.5111111111111111"/>
  </r>
  <r>
    <x v="59"/>
    <x v="3"/>
    <n v="133"/>
    <n v="24"/>
    <n v="469"/>
    <n v="0.18"/>
    <n v="1200"/>
    <n v="2.5586353944562901"/>
    <n v="3.5263157894736841"/>
    <n v="19.541666666666668"/>
  </r>
  <r>
    <x v="60"/>
    <x v="3"/>
    <n v="93"/>
    <n v="46"/>
    <n v="1723"/>
    <n v="0.49"/>
    <n v="2300"/>
    <n v="1.3348810214741729"/>
    <n v="18.526881720430108"/>
    <n v="37.456521739130437"/>
  </r>
  <r>
    <x v="61"/>
    <x v="3"/>
    <n v="42"/>
    <n v="9"/>
    <n v="1178"/>
    <n v="0.21"/>
    <n v="450"/>
    <n v="0.38200339558573854"/>
    <n v="28.047619047619047"/>
    <n v="130.88888888888889"/>
  </r>
  <r>
    <x v="62"/>
    <x v="3"/>
    <n v="139"/>
    <n v="42"/>
    <n v="375"/>
    <n v="0.3"/>
    <n v="2100"/>
    <n v="5.6"/>
    <n v="2.6978417266187051"/>
    <n v="8.9285714285714288"/>
  </r>
  <r>
    <x v="63"/>
    <x v="3"/>
    <n v="134"/>
    <n v="37"/>
    <n v="1650"/>
    <n v="0.28000000000000003"/>
    <n v="1850"/>
    <n v="1.1212121212121211"/>
    <n v="12.313432835820896"/>
    <n v="44.594594594594597"/>
  </r>
  <r>
    <x v="64"/>
    <x v="3"/>
    <n v="99"/>
    <n v="12"/>
    <n v="634"/>
    <n v="0.12"/>
    <n v="600"/>
    <n v="0.94637223974763407"/>
    <n v="6.404040404040404"/>
    <n v="52.833333333333336"/>
  </r>
  <r>
    <x v="65"/>
    <x v="3"/>
    <n v="28"/>
    <n v="40"/>
    <n v="161"/>
    <n v="1.43"/>
    <n v="2000"/>
    <n v="12.422360248447205"/>
    <n v="5.75"/>
    <n v="4.0250000000000004"/>
  </r>
  <r>
    <x v="66"/>
    <x v="3"/>
    <n v="120"/>
    <n v="28"/>
    <n v="815"/>
    <n v="0.23"/>
    <n v="1400"/>
    <n v="1.7177914110429449"/>
    <n v="6.791666666666667"/>
    <n v="29.107142857142858"/>
  </r>
  <r>
    <x v="67"/>
    <x v="3"/>
    <n v="23"/>
    <n v="20"/>
    <n v="1979"/>
    <n v="0.87"/>
    <n v="1000"/>
    <n v="0.50530570995452251"/>
    <n v="86.043478260869563"/>
    <n v="98.95"/>
  </r>
  <r>
    <x v="68"/>
    <x v="3"/>
    <n v="77"/>
    <n v="43"/>
    <n v="486"/>
    <n v="0.56000000000000005"/>
    <n v="2150"/>
    <n v="4.423868312757202"/>
    <n v="6.3116883116883118"/>
    <n v="11.302325581395349"/>
  </r>
  <r>
    <x v="69"/>
    <x v="3"/>
    <n v="139"/>
    <n v="31"/>
    <n v="745"/>
    <n v="0.22"/>
    <n v="1550"/>
    <n v="2.0805369127516777"/>
    <n v="5.3597122302158278"/>
    <n v="24.032258064516128"/>
  </r>
  <r>
    <x v="70"/>
    <x v="3"/>
    <n v="33"/>
    <n v="38"/>
    <n v="464"/>
    <n v="1.1499999999999999"/>
    <n v="1900"/>
    <n v="4.0948275862068968"/>
    <n v="14.060606060606061"/>
    <n v="12.210526315789474"/>
  </r>
  <r>
    <x v="71"/>
    <x v="3"/>
    <n v="107"/>
    <n v="10"/>
    <n v="1483"/>
    <n v="0.09"/>
    <n v="500"/>
    <n v="0.33715441672285906"/>
    <n v="13.859813084112149"/>
    <n v="148.30000000000001"/>
  </r>
  <r>
    <x v="72"/>
    <x v="3"/>
    <n v="28"/>
    <n v="49"/>
    <n v="609"/>
    <n v="1.75"/>
    <n v="2450"/>
    <n v="4.0229885057471266"/>
    <n v="21.75"/>
    <n v="12.428571428571429"/>
  </r>
  <r>
    <x v="73"/>
    <x v="3"/>
    <n v="79"/>
    <n v="19"/>
    <n v="980"/>
    <n v="0.24"/>
    <n v="950"/>
    <n v="0.96938775510204078"/>
    <n v="12.405063291139241"/>
    <n v="51.578947368421055"/>
  </r>
  <r>
    <x v="74"/>
    <x v="3"/>
    <n v="70"/>
    <n v="18"/>
    <n v="1170"/>
    <n v="0.26"/>
    <n v="900"/>
    <n v="0.76923076923076927"/>
    <n v="16.714285714285715"/>
    <n v="65"/>
  </r>
  <r>
    <x v="75"/>
    <x v="3"/>
    <n v="35"/>
    <n v="6"/>
    <n v="1173"/>
    <n v="0.17"/>
    <n v="300"/>
    <n v="0.25575447570332482"/>
    <n v="33.514285714285712"/>
    <n v="195.5"/>
  </r>
  <r>
    <x v="76"/>
    <x v="3"/>
    <n v="111"/>
    <n v="44"/>
    <n v="295"/>
    <n v="0.4"/>
    <n v="2200"/>
    <n v="7.4576271186440675"/>
    <n v="2.6576576576576576"/>
    <n v="6.7045454545454541"/>
  </r>
  <r>
    <x v="77"/>
    <x v="3"/>
    <n v="51"/>
    <n v="36"/>
    <n v="367"/>
    <n v="0.71"/>
    <n v="1800"/>
    <n v="4.9046321525885554"/>
    <n v="7.1960784313725492"/>
    <n v="10.194444444444445"/>
  </r>
  <r>
    <x v="78"/>
    <x v="3"/>
    <n v="71"/>
    <n v="17"/>
    <n v="597"/>
    <n v="0.24"/>
    <n v="850"/>
    <n v="1.4237855946398661"/>
    <n v="8.408450704225352"/>
    <n v="35.117647058823529"/>
  </r>
  <r>
    <x v="79"/>
    <x v="3"/>
    <n v="77"/>
    <n v="35"/>
    <n v="1670"/>
    <n v="0.45"/>
    <n v="1750"/>
    <n v="1.0479041916167664"/>
    <n v="21.688311688311689"/>
    <n v="47.714285714285715"/>
  </r>
  <r>
    <x v="80"/>
    <x v="3"/>
    <n v="46"/>
    <n v="34"/>
    <n v="1168"/>
    <n v="0.74"/>
    <n v="1700"/>
    <n v="1.4554794520547945"/>
    <n v="25.391304347826086"/>
    <n v="34.352941176470587"/>
  </r>
  <r>
    <x v="81"/>
    <x v="3"/>
    <n v="46"/>
    <n v="31"/>
    <n v="135"/>
    <n v="0.67"/>
    <n v="1550"/>
    <n v="11.481481481481481"/>
    <n v="2.9347826086956523"/>
    <n v="4.354838709677419"/>
  </r>
  <r>
    <x v="82"/>
    <x v="3"/>
    <n v="99"/>
    <n v="36"/>
    <n v="451"/>
    <n v="0.36"/>
    <n v="1800"/>
    <n v="3.9911308203991132"/>
    <n v="4.5555555555555554"/>
    <n v="12.527777777777779"/>
  </r>
  <r>
    <x v="83"/>
    <x v="3"/>
    <n v="131"/>
    <n v="43"/>
    <n v="283"/>
    <n v="0.33"/>
    <n v="2150"/>
    <n v="7.5971731448763249"/>
    <n v="2.1603053435114505"/>
    <n v="6.5813953488372094"/>
  </r>
  <r>
    <x v="84"/>
    <x v="3"/>
    <n v="69"/>
    <n v="45"/>
    <n v="806"/>
    <n v="0.65"/>
    <n v="2250"/>
    <n v="2.791563275434243"/>
    <n v="11.681159420289855"/>
    <n v="17.911111111111111"/>
  </r>
  <r>
    <x v="85"/>
    <x v="3"/>
    <n v="44"/>
    <n v="39"/>
    <n v="1499"/>
    <n v="0.89"/>
    <n v="1950"/>
    <n v="1.3008672448298866"/>
    <n v="34.06818181818182"/>
    <n v="38.435897435897438"/>
  </r>
  <r>
    <x v="86"/>
    <x v="3"/>
    <n v="71"/>
    <n v="31"/>
    <n v="887"/>
    <n v="0.44"/>
    <n v="1550"/>
    <n v="1.7474633596392333"/>
    <n v="12.492957746478874"/>
    <n v="28.612903225806452"/>
  </r>
  <r>
    <x v="87"/>
    <x v="3"/>
    <n v="134"/>
    <n v="28"/>
    <n v="1140"/>
    <n v="0.21"/>
    <n v="1400"/>
    <n v="1.2280701754385965"/>
    <n v="8.5074626865671643"/>
    <n v="40.714285714285715"/>
  </r>
  <r>
    <x v="88"/>
    <x v="3"/>
    <n v="49"/>
    <n v="24"/>
    <n v="1297"/>
    <n v="0.49"/>
    <n v="1200"/>
    <n v="0.9252120277563608"/>
    <n v="26.469387755102041"/>
    <n v="54.041666666666664"/>
  </r>
  <r>
    <x v="89"/>
    <x v="3"/>
    <n v="134"/>
    <n v="33"/>
    <n v="397"/>
    <n v="0.25"/>
    <n v="1650"/>
    <n v="4.1561712846347607"/>
    <n v="2.9626865671641789"/>
    <n v="12.0303030303030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530F47-D6FF-4BC9-A98D-45547C98B4A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showAll="0"/>
    <pivotField showAll="0"/>
    <pivotField showAll="0"/>
    <pivotField showAll="0"/>
    <pivotField dataField="1"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OAS" fld="7" baseField="0" baseItem="0" numFmtId="2"/>
  </dataFields>
  <formats count="2">
    <format dxfId="13">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F9F64F-B236-4E5B-9A2A-9B365A8356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C18" firstHeaderRow="1" firstDataRow="1" firstDataCol="0"/>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showAll="0"/>
    <pivotField showAll="0"/>
    <pivotField showAll="0"/>
    <pivotField showAll="0"/>
    <pivotField numFmtId="2" showAll="0"/>
    <pivotField dataField="1"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PL" fld="8" baseField="0" baseItem="0" numFmtId="2"/>
  </dataFields>
  <formats count="2">
    <format dxfId="15">
      <pivotArea outline="0" collapsedLevelsAreSubtotals="1" fieldPosition="0"/>
    </format>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0A446F-1D5A-4B2C-859C-AD3F7077803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showAll="0"/>
    <pivotField showAll="0"/>
    <pivotField dataField="1" showAll="0"/>
    <pivotField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nversion Rate" fld="5" baseField="0" baseItem="0"/>
  </dataFields>
  <formats count="2">
    <format dxfId="17">
      <pivotArea outline="0" collapsedLevelsAreSubtotals="1" fieldPosition="0"/>
    </format>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76324A-1C75-4E94-9FDD-1ACF5F998C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J10:L14" firstHeaderRow="0" firstDataRow="1" firstDataCol="1"/>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dataField="1" showAll="0"/>
    <pivotField showAll="0"/>
    <pivotField showAll="0"/>
    <pivotField dataField="1"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1"/>
  </rowFields>
  <rowItems count="4">
    <i>
      <x v="1"/>
    </i>
    <i>
      <x v="2"/>
    </i>
    <i>
      <x v="3"/>
    </i>
    <i t="grand">
      <x/>
    </i>
  </rowItems>
  <colFields count="1">
    <field x="-2"/>
  </colFields>
  <colItems count="2">
    <i>
      <x/>
    </i>
    <i i="1">
      <x v="1"/>
    </i>
  </colItems>
  <dataFields count="2">
    <dataField name="_Revenue" fld="6" baseField="9" baseItem="1"/>
    <dataField name="_Conversions" fld="3" baseField="9" baseItem="1"/>
  </dataFields>
  <formats count="2">
    <format dxfId="19">
      <pivotArea outline="0" collapsedLevelsAreSubtotals="1" fieldPosition="0"/>
    </format>
    <format dxfId="18">
      <pivotArea outline="0" collapsedLevelsAreSubtotals="1" fieldPosition="0"/>
    </format>
  </formats>
  <chartFormats count="2">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2E20BF-0C30-431A-829C-6F1BF65FB7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0:H15" firstHeaderRow="1" firstDataRow="1" firstDataCol="1"/>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Row" showAll="0">
      <items count="5">
        <item x="1"/>
        <item x="0"/>
        <item x="3"/>
        <item x="2"/>
        <item t="default"/>
      </items>
    </pivotField>
    <pivotField showAll="0"/>
    <pivotField showAll="0"/>
    <pivotField showAll="0"/>
    <pivotField dataField="1" showAll="0"/>
    <pivotField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Conversion Rate" fld="5" baseField="0" baseItem="0"/>
  </dataFields>
  <formats count="2">
    <format dxfId="21">
      <pivotArea outline="0" collapsedLevelsAreSubtotals="1" fieldPosition="0"/>
    </format>
    <format dxfId="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8C3F5D-A0D5-4AE1-860F-D872BC56FA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9:E14" firstHeaderRow="0" firstDataRow="1" firstDataCol="1"/>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Row" showAll="0">
      <items count="5">
        <item x="1"/>
        <item x="0"/>
        <item x="3"/>
        <item x="2"/>
        <item t="default"/>
      </items>
    </pivotField>
    <pivotField showAll="0"/>
    <pivotField showAll="0"/>
    <pivotField dataField="1" showAll="0"/>
    <pivotField showAll="0"/>
    <pivotField dataField="1"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Fields count="1">
    <field x="-2"/>
  </colFields>
  <colItems count="2">
    <i>
      <x/>
    </i>
    <i i="1">
      <x v="1"/>
    </i>
  </colItems>
  <dataFields count="2">
    <dataField name="_Ad Spend" fld="4" baseField="1" baseItem="0"/>
    <dataField name="_Revenue" fld="6" baseField="1" baseItem="0"/>
  </dataFields>
  <formats count="2">
    <format dxfId="23">
      <pivotArea outline="0" collapsedLevelsAreSubtotals="1" fieldPosition="0"/>
    </format>
    <format dxfId="22">
      <pivotArea outline="0" collapsedLevelsAreSubtotals="1" fieldPosition="0"/>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42C7B5-503E-4227-BE6E-81D3B69B4C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8" firstHeaderRow="1" firstDataRow="1" firstDataCol="1"/>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Row" showAll="0">
      <items count="5">
        <item x="1"/>
        <item x="0"/>
        <item x="3"/>
        <item x="2"/>
        <item t="default"/>
      </items>
    </pivotField>
    <pivotField dataField="1" showAll="0"/>
    <pivotField showAll="0"/>
    <pivotField showAll="0"/>
    <pivotField showAll="0"/>
    <pivotField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_Leads" fld="2" baseField="1" baseItem="0"/>
  </dataFields>
  <formats count="2">
    <format dxfId="25">
      <pivotArea outline="0" collapsedLevelsAreSubtotals="1" fieldPosition="0"/>
    </format>
    <format dxfId="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A4E3C3-266C-41FD-9914-FF9EB1C1CC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3:E7" firstHeaderRow="0" firstDataRow="1" firstDataCol="1"/>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showAll="0"/>
    <pivotField dataField="1" showAll="0"/>
    <pivotField showAll="0"/>
    <pivotField dataField="1" showAll="0"/>
    <pivotField numFmtId="2" showAll="0"/>
    <pivotField numFmtId="2" showAll="0"/>
    <pivotField numFmtId="2" showAll="0"/>
    <pivotField showAll="0">
      <items count="369">
        <item sd="0" x="0"/>
        <item sd="0" x="1"/>
        <item sd="0" x="2"/>
        <item sd="0" x="3"/>
        <item sd="0" x="4"/>
        <item sd="0" x="5"/>
        <item sd="0" x="6"/>
        <item sd="0" x="7"/>
        <item sd="0" x="8"/>
        <item sd="0" x="9"/>
        <item sd="0" x="10"/>
        <item sd="0" x="11"/>
        <item sd="0" x="12"/>
        <item sd="0" x="13"/>
        <item sd="0" x="14"/>
        <item sd="0" x="15"/>
        <item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1">
    <field x="11"/>
  </rowFields>
  <rowItems count="4">
    <i>
      <x v="1"/>
    </i>
    <i>
      <x v="2"/>
    </i>
    <i>
      <x v="3"/>
    </i>
    <i t="grand">
      <x/>
    </i>
  </rowItems>
  <colFields count="1">
    <field x="-2"/>
  </colFields>
  <colItems count="2">
    <i>
      <x/>
    </i>
    <i i="1">
      <x v="1"/>
    </i>
  </colItems>
  <dataFields count="2">
    <dataField name="_Ad Spend" fld="4" baseField="9" baseItem="1"/>
    <dataField name="_Revenue" fld="6" baseField="9" baseItem="1"/>
  </dataFields>
  <formats count="2">
    <format dxfId="27">
      <pivotArea outline="0" collapsedLevelsAreSubtotals="1" fieldPosition="0"/>
    </format>
    <format dxfId="26">
      <pivotArea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A661A1-31AC-4522-9075-002F72C05D3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8" firstHeaderRow="1" firstDataRow="1" firstDataCol="1"/>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Row" showAll="0">
      <items count="5">
        <item x="1"/>
        <item x="0"/>
        <item x="3"/>
        <item x="2"/>
        <item t="default"/>
      </items>
    </pivotField>
    <pivotField showAll="0"/>
    <pivotField showAll="0"/>
    <pivotField showAll="0"/>
    <pivotField showAll="0"/>
    <pivotField dataField="1"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_Revenue" fld="6" baseField="1" baseItem="0"/>
  </dataFields>
  <formats count="2">
    <format dxfId="29">
      <pivotArea outline="0" collapsedLevelsAreSubtotals="1" fieldPosition="0"/>
    </format>
    <format dxfId="28">
      <pivotArea outline="0" collapsedLevelsAreSubtotals="1" fieldPosition="0"/>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10CA76-920F-4F70-8BAF-83B98CFA6D0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dataField="1" showAll="0"/>
    <pivotField showAll="0"/>
    <pivotField showAll="0"/>
    <pivotField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onversions" fld="3" baseField="0" baseItem="0"/>
  </dataFields>
  <formats count="2">
    <format dxfId="31">
      <pivotArea outline="0" collapsedLevelsAreSubtotals="1"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283820-58A1-49B3-BD7E-4A49E4D038B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showAll="0"/>
    <pivotField showAll="0"/>
    <pivotField showAll="0"/>
    <pivotField dataField="1"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6" baseField="0" baseItem="0"/>
  </dataFields>
  <formats count="2">
    <format dxfId="33">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07A12-6A52-443F-A922-B03A79778A8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showAll="0"/>
    <pivotField dataField="1" showAll="0"/>
    <pivotField showAll="0"/>
    <pivotField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d Spend" fld="4" baseField="0" baseItem="0"/>
  </dataFields>
  <formats count="2">
    <format dxfId="35">
      <pivotArea outline="0" collapsedLevelsAreSubtotals="1"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B0C2F2B-2474-44CA-BFD4-27695DB6692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dataField="1" showAll="0"/>
    <pivotField showAll="0"/>
    <pivotField showAll="0"/>
    <pivotField showAll="0"/>
    <pivotField showAll="0"/>
    <pivotField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Leads" fld="2" baseField="0" baseItem="0"/>
  </dataFields>
  <formats count="2">
    <format dxfId="37">
      <pivotArea outline="0" collapsedLevelsAreSubtotals="1" fieldPosition="0"/>
    </format>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091E2F3-5512-4CC4-98AD-71E6AC89AA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7:E18" firstHeaderRow="1" firstDataRow="1" firstDataCol="0"/>
  <pivotFields count="12">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1"/>
        <item x="0"/>
        <item x="3"/>
        <item x="2"/>
        <item t="default"/>
      </items>
    </pivotField>
    <pivotField showAll="0"/>
    <pivotField showAll="0"/>
    <pivotField showAll="0"/>
    <pivotField showAll="0"/>
    <pivotField showAll="0"/>
    <pivotField numFmtId="2"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CPA" fld="9" baseField="0" baseItem="0" numFmtId="2"/>
  </dataFields>
  <formats count="2">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1" xr10:uid="{8FFC4ADE-6DDE-4587-A112-96D04F354F41}" sourceName="Channel">
  <pivotTables>
    <pivotTable tabId="9" name="PivotTable14"/>
    <pivotTable tabId="9" name="PivotTable15"/>
    <pivotTable tabId="9" name="PivotTable16"/>
    <pivotTable tabId="9" name="PivotTable17"/>
    <pivotTable tabId="9" name="PivotTable18"/>
    <pivotTable tabId="9" name="PivotTable1"/>
    <pivotTable tabId="9" name="PivotTable2"/>
    <pivotTable tabId="9" name="PivotTable4"/>
    <pivotTable tabId="9" name="PivotTable5"/>
    <pivotTable tabId="9" name="PivotTable6"/>
    <pivotTable tabId="9" name="PivotTable7"/>
    <pivotTable tabId="9" name="PivotTable8"/>
    <pivotTable tabId="9" name="PivotTable19"/>
  </pivotTables>
  <data>
    <tabular pivotCacheId="165763100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F9D2F16-4F47-44DB-88DE-C2735431B827}" sourceName="Months (Date)">
  <pivotTables>
    <pivotTable tabId="9" name="PivotTable14"/>
    <pivotTable tabId="9" name="PivotTable1"/>
    <pivotTable tabId="9" name="PivotTable15"/>
    <pivotTable tabId="9" name="PivotTable16"/>
    <pivotTable tabId="9" name="PivotTable17"/>
    <pivotTable tabId="9" name="PivotTable18"/>
    <pivotTable tabId="9" name="PivotTable19"/>
    <pivotTable tabId="9" name="PivotTable2"/>
    <pivotTable tabId="9" name="PivotTable4"/>
    <pivotTable tabId="9" name="PivotTable5"/>
    <pivotTable tabId="9" name="PivotTable3"/>
    <pivotTable tabId="9" name="PivotTable7"/>
    <pivotTable tabId="9" name="PivotTable8"/>
  </pivotTables>
  <data>
    <tabular pivotCacheId="1657631002">
      <items count="14">
        <i x="1" s="1"/>
        <i x="2" s="1"/>
        <i x="3" s="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CC702D79-5C3E-4ABD-B6CD-CE1BD68DE025}" cache="Slicer_Channel1" caption="Chann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64CA2813-094D-4CC5-9331-AD1557EFBCCF}" cache="Slicer_Channel1" caption="Channel" style="SlicerStyleLight6" rowHeight="288000"/>
  <slicer name="Months" xr10:uid="{4985DA97-E68F-4095-8DC1-A1A6CB86C747}" cache="Slicer_Months__Date" caption="Months" style="SlicerStyleLight6"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4F30C7-DEC7-4A55-BFFD-B13AB2EFDA58}" name="Table1" displayName="Table1" ref="A1:G361" totalsRowShown="0" headerRowDxfId="43" headerRowBorderDxfId="42" tableBorderDxfId="41">
  <autoFilter ref="A1:G361" xr:uid="{F44F30C7-DEC7-4A55-BFFD-B13AB2EFDA58}"/>
  <tableColumns count="7">
    <tableColumn id="1" xr3:uid="{35F1ABA5-16A8-46A4-A31B-E0799D640C9D}" name="Date" dataDxfId="40"/>
    <tableColumn id="2" xr3:uid="{CC3D2655-CDB2-492E-9D6F-2345D2198685}" name="Channel"/>
    <tableColumn id="3" xr3:uid="{BAA3755A-B97A-4961-9D22-803E4B870120}" name="Leads"/>
    <tableColumn id="4" xr3:uid="{9806434C-7CC9-4664-92C0-69956C2E8124}" name="Conversions"/>
    <tableColumn id="5" xr3:uid="{1201B76A-3D98-492E-B67E-7E89B7A28808}" name="Ad Spend"/>
    <tableColumn id="6" xr3:uid="{A346F550-957F-4A24-8795-A8BBC0331863}" name="Conversion Rate"/>
    <tableColumn id="7" xr3:uid="{A4213CF2-9510-4043-B128-50C405443647}" name="Reven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65B852-3D1D-451B-814E-A399C272B287}" name="Table2" displayName="Table2" ref="A1:J361" totalsRowShown="0" headerRowDxfId="11" tableBorderDxfId="10">
  <autoFilter ref="A1:J361" xr:uid="{B665B852-3D1D-451B-814E-A399C272B287}"/>
  <tableColumns count="10">
    <tableColumn id="1" xr3:uid="{1191E546-138C-45AF-BD23-DC80FD6A60F8}" name="Date" dataDxfId="9"/>
    <tableColumn id="2" xr3:uid="{ECE5BA79-C8ED-47D6-81BC-930EC7BC3A5D}" name="Channel" dataDxfId="8"/>
    <tableColumn id="3" xr3:uid="{8652D51D-D92E-40A0-B9BE-4025AFDCB8FA}" name="Leads" dataDxfId="7"/>
    <tableColumn id="4" xr3:uid="{E3290762-CE38-401F-9EEE-6645A8A8C1A8}" name="Conversions" dataDxfId="6"/>
    <tableColumn id="5" xr3:uid="{01F31ACC-4E7C-4272-99A0-BAD167A24616}" name="Ad Spend" dataDxfId="5"/>
    <tableColumn id="6" xr3:uid="{9F74DA35-CE4C-4FF8-AFFE-B7864F4245AE}" name="Conversion Rate" dataDxfId="4"/>
    <tableColumn id="7" xr3:uid="{F7D0C810-9577-42C2-A635-C11A95DABB4F}" name="Revenue" dataDxfId="3"/>
    <tableColumn id="8" xr3:uid="{B86665C1-DFA7-4300-9382-12DA4DCE8BBE}" name="ROAS" dataDxfId="2">
      <calculatedColumnFormula>G2/E2</calculatedColumnFormula>
    </tableColumn>
    <tableColumn id="9" xr3:uid="{2F03E5CE-FD5C-48C4-8DB0-71DE42358076}" name="CPL" dataDxfId="1">
      <calculatedColumnFormula>Table2[[#This Row],[Ad Spend]]/Table2[[#This Row],[Leads]]</calculatedColumnFormula>
    </tableColumn>
    <tableColumn id="10" xr3:uid="{542A22B7-9A91-45C5-9F04-DC2494C061C6}" name="CPA" dataDxfId="0">
      <calculatedColumnFormula>Table2[[#This Row],[Ad Spend]]/Table2[[#This Row],[Conversions]]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1"/>
  <sheetViews>
    <sheetView workbookViewId="0">
      <selection activeCell="H17" sqref="H17"/>
    </sheetView>
  </sheetViews>
  <sheetFormatPr defaultRowHeight="14.5" x14ac:dyDescent="0.35"/>
  <cols>
    <col min="1" max="1" width="17.81640625" bestFit="1" customWidth="1"/>
    <col min="2" max="2" width="12.7265625" bestFit="1" customWidth="1"/>
    <col min="3" max="3" width="7.54296875" customWidth="1"/>
    <col min="4" max="4" width="13" customWidth="1"/>
    <col min="5" max="5" width="10.7265625" customWidth="1"/>
    <col min="6" max="6" width="16.453125" customWidth="1"/>
    <col min="7" max="7" width="10" customWidth="1"/>
    <col min="11" max="11" width="15.26953125" bestFit="1" customWidth="1"/>
  </cols>
  <sheetData>
    <row r="1" spans="1:7" x14ac:dyDescent="0.35">
      <c r="A1" s="3" t="s">
        <v>0</v>
      </c>
      <c r="B1" s="3" t="s">
        <v>1</v>
      </c>
      <c r="C1" s="3" t="s">
        <v>2</v>
      </c>
      <c r="D1" s="3" t="s">
        <v>3</v>
      </c>
      <c r="E1" s="3" t="s">
        <v>4</v>
      </c>
      <c r="F1" s="3" t="s">
        <v>5</v>
      </c>
      <c r="G1" s="3" t="s">
        <v>6</v>
      </c>
    </row>
    <row r="2" spans="1:7" x14ac:dyDescent="0.35">
      <c r="A2" s="1">
        <v>45292</v>
      </c>
      <c r="B2" t="s">
        <v>7</v>
      </c>
      <c r="C2">
        <v>121</v>
      </c>
      <c r="D2">
        <v>32</v>
      </c>
      <c r="E2">
        <v>1204</v>
      </c>
      <c r="F2">
        <v>0.26</v>
      </c>
      <c r="G2">
        <v>1600</v>
      </c>
    </row>
    <row r="3" spans="1:7" x14ac:dyDescent="0.35">
      <c r="A3" s="1">
        <v>45293</v>
      </c>
      <c r="B3" t="s">
        <v>7</v>
      </c>
      <c r="C3">
        <v>128</v>
      </c>
      <c r="D3">
        <v>7</v>
      </c>
      <c r="E3">
        <v>1083</v>
      </c>
      <c r="F3">
        <v>0.05</v>
      </c>
      <c r="G3">
        <v>350</v>
      </c>
    </row>
    <row r="4" spans="1:7" x14ac:dyDescent="0.35">
      <c r="A4" s="1">
        <v>45294</v>
      </c>
      <c r="B4" t="s">
        <v>7</v>
      </c>
      <c r="C4">
        <v>20</v>
      </c>
      <c r="D4">
        <v>5</v>
      </c>
      <c r="E4">
        <v>1074</v>
      </c>
      <c r="F4">
        <v>0.25</v>
      </c>
      <c r="G4">
        <v>250</v>
      </c>
    </row>
    <row r="5" spans="1:7" x14ac:dyDescent="0.35">
      <c r="A5" s="1">
        <v>45295</v>
      </c>
      <c r="B5" t="s">
        <v>7</v>
      </c>
      <c r="C5">
        <v>128</v>
      </c>
      <c r="D5">
        <v>41</v>
      </c>
      <c r="E5">
        <v>1161</v>
      </c>
      <c r="F5">
        <v>0.32</v>
      </c>
      <c r="G5">
        <v>2050</v>
      </c>
    </row>
    <row r="6" spans="1:7" x14ac:dyDescent="0.35">
      <c r="A6" s="1">
        <v>45296</v>
      </c>
      <c r="B6" t="s">
        <v>7</v>
      </c>
      <c r="C6">
        <v>58</v>
      </c>
      <c r="D6">
        <v>5</v>
      </c>
      <c r="E6">
        <v>847</v>
      </c>
      <c r="F6">
        <v>0.09</v>
      </c>
      <c r="G6">
        <v>250</v>
      </c>
    </row>
    <row r="7" spans="1:7" x14ac:dyDescent="0.35">
      <c r="A7" s="1">
        <v>45297</v>
      </c>
      <c r="B7" t="s">
        <v>7</v>
      </c>
      <c r="C7">
        <v>29</v>
      </c>
      <c r="D7">
        <v>46</v>
      </c>
      <c r="E7">
        <v>614</v>
      </c>
      <c r="F7">
        <v>1.59</v>
      </c>
      <c r="G7">
        <v>2300</v>
      </c>
    </row>
    <row r="8" spans="1:7" x14ac:dyDescent="0.35">
      <c r="A8" s="1">
        <v>45298</v>
      </c>
      <c r="B8" t="s">
        <v>7</v>
      </c>
      <c r="C8">
        <v>69</v>
      </c>
      <c r="D8">
        <v>48</v>
      </c>
      <c r="E8">
        <v>1307</v>
      </c>
      <c r="F8">
        <v>0.7</v>
      </c>
      <c r="G8">
        <v>2400</v>
      </c>
    </row>
    <row r="9" spans="1:7" x14ac:dyDescent="0.35">
      <c r="A9" s="1">
        <v>45299</v>
      </c>
      <c r="B9" t="s">
        <v>7</v>
      </c>
      <c r="C9">
        <v>45</v>
      </c>
      <c r="D9">
        <v>10</v>
      </c>
      <c r="E9">
        <v>1915</v>
      </c>
      <c r="F9">
        <v>0.22</v>
      </c>
      <c r="G9">
        <v>500</v>
      </c>
    </row>
    <row r="10" spans="1:7" x14ac:dyDescent="0.35">
      <c r="A10" s="1">
        <v>45300</v>
      </c>
      <c r="B10" t="s">
        <v>7</v>
      </c>
      <c r="C10">
        <v>74</v>
      </c>
      <c r="D10">
        <v>9</v>
      </c>
      <c r="E10">
        <v>824</v>
      </c>
      <c r="F10">
        <v>0.12</v>
      </c>
      <c r="G10">
        <v>450</v>
      </c>
    </row>
    <row r="11" spans="1:7" x14ac:dyDescent="0.35">
      <c r="A11" s="1">
        <v>45301</v>
      </c>
      <c r="B11" t="s">
        <v>7</v>
      </c>
      <c r="C11">
        <v>32</v>
      </c>
      <c r="D11">
        <v>49</v>
      </c>
      <c r="E11">
        <v>499</v>
      </c>
      <c r="F11">
        <v>1.53</v>
      </c>
      <c r="G11">
        <v>2450</v>
      </c>
    </row>
    <row r="12" spans="1:7" x14ac:dyDescent="0.35">
      <c r="A12" s="1">
        <v>45302</v>
      </c>
      <c r="B12" t="s">
        <v>7</v>
      </c>
      <c r="C12">
        <v>54</v>
      </c>
      <c r="D12">
        <v>31</v>
      </c>
      <c r="E12">
        <v>1138</v>
      </c>
      <c r="F12">
        <v>0.56999999999999995</v>
      </c>
      <c r="G12">
        <v>1550</v>
      </c>
    </row>
    <row r="13" spans="1:7" x14ac:dyDescent="0.35">
      <c r="A13" s="1">
        <v>45303</v>
      </c>
      <c r="B13" t="s">
        <v>7</v>
      </c>
      <c r="C13">
        <v>148</v>
      </c>
      <c r="D13">
        <v>25</v>
      </c>
      <c r="E13">
        <v>1992</v>
      </c>
      <c r="F13">
        <v>0.17</v>
      </c>
      <c r="G13">
        <v>1250</v>
      </c>
    </row>
    <row r="14" spans="1:7" x14ac:dyDescent="0.35">
      <c r="A14" s="1">
        <v>45304</v>
      </c>
      <c r="B14" t="s">
        <v>7</v>
      </c>
      <c r="C14">
        <v>29</v>
      </c>
      <c r="D14">
        <v>16</v>
      </c>
      <c r="E14">
        <v>161</v>
      </c>
      <c r="F14">
        <v>0.55000000000000004</v>
      </c>
      <c r="G14">
        <v>800</v>
      </c>
    </row>
    <row r="15" spans="1:7" x14ac:dyDescent="0.35">
      <c r="A15" s="1">
        <v>45305</v>
      </c>
      <c r="B15" t="s">
        <v>7</v>
      </c>
      <c r="C15">
        <v>127</v>
      </c>
      <c r="D15">
        <v>21</v>
      </c>
      <c r="E15">
        <v>920</v>
      </c>
      <c r="F15">
        <v>0.17</v>
      </c>
      <c r="G15">
        <v>1050</v>
      </c>
    </row>
    <row r="16" spans="1:7" x14ac:dyDescent="0.35">
      <c r="A16" s="1">
        <v>45306</v>
      </c>
      <c r="B16" t="s">
        <v>7</v>
      </c>
      <c r="C16">
        <v>136</v>
      </c>
      <c r="D16">
        <v>16</v>
      </c>
      <c r="E16">
        <v>1685</v>
      </c>
      <c r="F16">
        <v>0.12</v>
      </c>
      <c r="G16">
        <v>800</v>
      </c>
    </row>
    <row r="17" spans="1:7" x14ac:dyDescent="0.35">
      <c r="A17" s="1">
        <v>45307</v>
      </c>
      <c r="B17" t="s">
        <v>7</v>
      </c>
      <c r="C17">
        <v>45</v>
      </c>
      <c r="D17">
        <v>37</v>
      </c>
      <c r="E17">
        <v>1779</v>
      </c>
      <c r="F17">
        <v>0.82</v>
      </c>
      <c r="G17">
        <v>1850</v>
      </c>
    </row>
    <row r="18" spans="1:7" x14ac:dyDescent="0.35">
      <c r="A18" s="1">
        <v>45308</v>
      </c>
      <c r="B18" t="s">
        <v>7</v>
      </c>
      <c r="C18">
        <v>25</v>
      </c>
      <c r="D18">
        <v>36</v>
      </c>
      <c r="E18">
        <v>1950</v>
      </c>
      <c r="F18">
        <v>1.44</v>
      </c>
      <c r="G18">
        <v>1800</v>
      </c>
    </row>
    <row r="19" spans="1:7" x14ac:dyDescent="0.35">
      <c r="A19" s="1">
        <v>45309</v>
      </c>
      <c r="B19" t="s">
        <v>7</v>
      </c>
      <c r="C19">
        <v>87</v>
      </c>
      <c r="D19">
        <v>35</v>
      </c>
      <c r="E19">
        <v>426</v>
      </c>
      <c r="F19">
        <v>0.4</v>
      </c>
      <c r="G19">
        <v>1750</v>
      </c>
    </row>
    <row r="20" spans="1:7" x14ac:dyDescent="0.35">
      <c r="A20" s="1">
        <v>45310</v>
      </c>
      <c r="B20" t="s">
        <v>7</v>
      </c>
      <c r="C20">
        <v>68</v>
      </c>
      <c r="D20">
        <v>8</v>
      </c>
      <c r="E20">
        <v>1733</v>
      </c>
      <c r="F20">
        <v>0.12</v>
      </c>
      <c r="G20">
        <v>400</v>
      </c>
    </row>
    <row r="21" spans="1:7" x14ac:dyDescent="0.35">
      <c r="A21" s="1">
        <v>45311</v>
      </c>
      <c r="B21" t="s">
        <v>7</v>
      </c>
      <c r="C21">
        <v>147</v>
      </c>
      <c r="D21">
        <v>6</v>
      </c>
      <c r="E21">
        <v>1525</v>
      </c>
      <c r="F21">
        <v>0.04</v>
      </c>
      <c r="G21">
        <v>300</v>
      </c>
    </row>
    <row r="22" spans="1:7" x14ac:dyDescent="0.35">
      <c r="A22" s="1">
        <v>45312</v>
      </c>
      <c r="B22" t="s">
        <v>7</v>
      </c>
      <c r="C22">
        <v>91</v>
      </c>
      <c r="D22">
        <v>44</v>
      </c>
      <c r="E22">
        <v>1429</v>
      </c>
      <c r="F22">
        <v>0.48</v>
      </c>
      <c r="G22">
        <v>2200</v>
      </c>
    </row>
    <row r="23" spans="1:7" x14ac:dyDescent="0.35">
      <c r="A23" s="1">
        <v>45313</v>
      </c>
      <c r="B23" t="s">
        <v>7</v>
      </c>
      <c r="C23">
        <v>120</v>
      </c>
      <c r="D23">
        <v>40</v>
      </c>
      <c r="E23">
        <v>1482</v>
      </c>
      <c r="F23">
        <v>0.33</v>
      </c>
      <c r="G23">
        <v>2000</v>
      </c>
    </row>
    <row r="24" spans="1:7" x14ac:dyDescent="0.35">
      <c r="A24" s="1">
        <v>45314</v>
      </c>
      <c r="B24" t="s">
        <v>7</v>
      </c>
      <c r="C24">
        <v>96</v>
      </c>
      <c r="D24">
        <v>10</v>
      </c>
      <c r="E24">
        <v>1395</v>
      </c>
      <c r="F24">
        <v>0.1</v>
      </c>
      <c r="G24">
        <v>500</v>
      </c>
    </row>
    <row r="25" spans="1:7" x14ac:dyDescent="0.35">
      <c r="A25" s="1">
        <v>45315</v>
      </c>
      <c r="B25" t="s">
        <v>7</v>
      </c>
      <c r="C25">
        <v>103</v>
      </c>
      <c r="D25">
        <v>45</v>
      </c>
      <c r="E25">
        <v>1216</v>
      </c>
      <c r="F25">
        <v>0.44</v>
      </c>
      <c r="G25">
        <v>2250</v>
      </c>
    </row>
    <row r="26" spans="1:7" x14ac:dyDescent="0.35">
      <c r="A26" s="1">
        <v>45316</v>
      </c>
      <c r="B26" t="s">
        <v>7</v>
      </c>
      <c r="C26">
        <v>141</v>
      </c>
      <c r="D26">
        <v>48</v>
      </c>
      <c r="E26">
        <v>1153</v>
      </c>
      <c r="F26">
        <v>0.34</v>
      </c>
      <c r="G26">
        <v>2400</v>
      </c>
    </row>
    <row r="27" spans="1:7" x14ac:dyDescent="0.35">
      <c r="A27" s="1">
        <v>45317</v>
      </c>
      <c r="B27" t="s">
        <v>7</v>
      </c>
      <c r="C27">
        <v>84</v>
      </c>
      <c r="D27">
        <v>7</v>
      </c>
      <c r="E27">
        <v>466</v>
      </c>
      <c r="F27">
        <v>0.08</v>
      </c>
      <c r="G27">
        <v>350</v>
      </c>
    </row>
    <row r="28" spans="1:7" x14ac:dyDescent="0.35">
      <c r="A28" s="1">
        <v>45318</v>
      </c>
      <c r="B28" t="s">
        <v>7</v>
      </c>
      <c r="C28">
        <v>143</v>
      </c>
      <c r="D28">
        <v>30</v>
      </c>
      <c r="E28">
        <v>1416</v>
      </c>
      <c r="F28">
        <v>0.21</v>
      </c>
      <c r="G28">
        <v>1500</v>
      </c>
    </row>
    <row r="29" spans="1:7" x14ac:dyDescent="0.35">
      <c r="A29" s="1">
        <v>45319</v>
      </c>
      <c r="B29" t="s">
        <v>7</v>
      </c>
      <c r="C29">
        <v>115</v>
      </c>
      <c r="D29">
        <v>20</v>
      </c>
      <c r="E29">
        <v>813</v>
      </c>
      <c r="F29">
        <v>0.17</v>
      </c>
      <c r="G29">
        <v>1000</v>
      </c>
    </row>
    <row r="30" spans="1:7" x14ac:dyDescent="0.35">
      <c r="A30" s="1">
        <v>45320</v>
      </c>
      <c r="B30" t="s">
        <v>7</v>
      </c>
      <c r="C30">
        <v>53</v>
      </c>
      <c r="D30">
        <v>36</v>
      </c>
      <c r="E30">
        <v>504</v>
      </c>
      <c r="F30">
        <v>0.68</v>
      </c>
      <c r="G30">
        <v>1800</v>
      </c>
    </row>
    <row r="31" spans="1:7" x14ac:dyDescent="0.35">
      <c r="A31" s="1">
        <v>45321</v>
      </c>
      <c r="B31" t="s">
        <v>7</v>
      </c>
      <c r="C31">
        <v>46</v>
      </c>
      <c r="D31">
        <v>38</v>
      </c>
      <c r="E31">
        <v>538</v>
      </c>
      <c r="F31">
        <v>0.83</v>
      </c>
      <c r="G31">
        <v>1900</v>
      </c>
    </row>
    <row r="32" spans="1:7" x14ac:dyDescent="0.35">
      <c r="A32" s="1">
        <v>45322</v>
      </c>
      <c r="B32" t="s">
        <v>7</v>
      </c>
      <c r="C32">
        <v>107</v>
      </c>
      <c r="D32">
        <v>27</v>
      </c>
      <c r="E32">
        <v>1711</v>
      </c>
      <c r="F32">
        <v>0.25</v>
      </c>
      <c r="G32">
        <v>1350</v>
      </c>
    </row>
    <row r="33" spans="1:7" x14ac:dyDescent="0.35">
      <c r="A33" s="1">
        <v>45323</v>
      </c>
      <c r="B33" t="s">
        <v>7</v>
      </c>
      <c r="C33">
        <v>105</v>
      </c>
      <c r="D33">
        <v>10</v>
      </c>
      <c r="E33">
        <v>1550</v>
      </c>
      <c r="F33">
        <v>0.1</v>
      </c>
      <c r="G33">
        <v>500</v>
      </c>
    </row>
    <row r="34" spans="1:7" x14ac:dyDescent="0.35">
      <c r="A34" s="1">
        <v>45324</v>
      </c>
      <c r="B34" t="s">
        <v>7</v>
      </c>
      <c r="C34">
        <v>116</v>
      </c>
      <c r="D34">
        <v>8</v>
      </c>
      <c r="E34">
        <v>1082</v>
      </c>
      <c r="F34">
        <v>7.0000000000000007E-2</v>
      </c>
      <c r="G34">
        <v>400</v>
      </c>
    </row>
    <row r="35" spans="1:7" x14ac:dyDescent="0.35">
      <c r="A35" s="1">
        <v>45325</v>
      </c>
      <c r="B35" t="s">
        <v>7</v>
      </c>
      <c r="C35">
        <v>62</v>
      </c>
      <c r="D35">
        <v>19</v>
      </c>
      <c r="E35">
        <v>295</v>
      </c>
      <c r="F35">
        <v>0.31</v>
      </c>
      <c r="G35">
        <v>950</v>
      </c>
    </row>
    <row r="36" spans="1:7" x14ac:dyDescent="0.35">
      <c r="A36" s="1">
        <v>45326</v>
      </c>
      <c r="B36" t="s">
        <v>7</v>
      </c>
      <c r="C36">
        <v>102</v>
      </c>
      <c r="D36">
        <v>35</v>
      </c>
      <c r="E36">
        <v>1825</v>
      </c>
      <c r="F36">
        <v>0.34</v>
      </c>
      <c r="G36">
        <v>1750</v>
      </c>
    </row>
    <row r="37" spans="1:7" x14ac:dyDescent="0.35">
      <c r="A37" s="1">
        <v>45327</v>
      </c>
      <c r="B37" t="s">
        <v>7</v>
      </c>
      <c r="C37">
        <v>62</v>
      </c>
      <c r="D37">
        <v>22</v>
      </c>
      <c r="E37">
        <v>1418</v>
      </c>
      <c r="F37">
        <v>0.35</v>
      </c>
      <c r="G37">
        <v>1100</v>
      </c>
    </row>
    <row r="38" spans="1:7" x14ac:dyDescent="0.35">
      <c r="A38" s="1">
        <v>45328</v>
      </c>
      <c r="B38" t="s">
        <v>7</v>
      </c>
      <c r="C38">
        <v>116</v>
      </c>
      <c r="D38">
        <v>17</v>
      </c>
      <c r="E38">
        <v>394</v>
      </c>
      <c r="F38">
        <v>0.15</v>
      </c>
      <c r="G38">
        <v>850</v>
      </c>
    </row>
    <row r="39" spans="1:7" x14ac:dyDescent="0.35">
      <c r="A39" s="1">
        <v>45329</v>
      </c>
      <c r="B39" t="s">
        <v>7</v>
      </c>
      <c r="C39">
        <v>106</v>
      </c>
      <c r="D39">
        <v>23</v>
      </c>
      <c r="E39">
        <v>1351</v>
      </c>
      <c r="F39">
        <v>0.22</v>
      </c>
      <c r="G39">
        <v>1150</v>
      </c>
    </row>
    <row r="40" spans="1:7" x14ac:dyDescent="0.35">
      <c r="A40" s="1">
        <v>45330</v>
      </c>
      <c r="B40" t="s">
        <v>7</v>
      </c>
      <c r="C40">
        <v>76</v>
      </c>
      <c r="D40">
        <v>26</v>
      </c>
      <c r="E40">
        <v>1105</v>
      </c>
      <c r="F40">
        <v>0.34</v>
      </c>
      <c r="G40">
        <v>1300</v>
      </c>
    </row>
    <row r="41" spans="1:7" x14ac:dyDescent="0.35">
      <c r="A41" s="1">
        <v>45331</v>
      </c>
      <c r="B41" t="s">
        <v>7</v>
      </c>
      <c r="C41">
        <v>120</v>
      </c>
      <c r="D41">
        <v>42</v>
      </c>
      <c r="E41">
        <v>540</v>
      </c>
      <c r="F41">
        <v>0.35</v>
      </c>
      <c r="G41">
        <v>2100</v>
      </c>
    </row>
    <row r="42" spans="1:7" x14ac:dyDescent="0.35">
      <c r="A42" s="1">
        <v>45332</v>
      </c>
      <c r="B42" t="s">
        <v>7</v>
      </c>
      <c r="C42">
        <v>118</v>
      </c>
      <c r="D42">
        <v>18</v>
      </c>
      <c r="E42">
        <v>1253</v>
      </c>
      <c r="F42">
        <v>0.15</v>
      </c>
      <c r="G42">
        <v>900</v>
      </c>
    </row>
    <row r="43" spans="1:7" x14ac:dyDescent="0.35">
      <c r="A43" s="1">
        <v>45333</v>
      </c>
      <c r="B43" t="s">
        <v>7</v>
      </c>
      <c r="C43">
        <v>52</v>
      </c>
      <c r="D43">
        <v>16</v>
      </c>
      <c r="E43">
        <v>640</v>
      </c>
      <c r="F43">
        <v>0.31</v>
      </c>
      <c r="G43">
        <v>800</v>
      </c>
    </row>
    <row r="44" spans="1:7" x14ac:dyDescent="0.35">
      <c r="A44" s="1">
        <v>45334</v>
      </c>
      <c r="B44" t="s">
        <v>7</v>
      </c>
      <c r="C44">
        <v>73</v>
      </c>
      <c r="D44">
        <v>45</v>
      </c>
      <c r="E44">
        <v>717</v>
      </c>
      <c r="F44">
        <v>0.62</v>
      </c>
      <c r="G44">
        <v>2250</v>
      </c>
    </row>
    <row r="45" spans="1:7" x14ac:dyDescent="0.35">
      <c r="A45" s="1">
        <v>45335</v>
      </c>
      <c r="B45" t="s">
        <v>7</v>
      </c>
      <c r="C45">
        <v>32</v>
      </c>
      <c r="D45">
        <v>48</v>
      </c>
      <c r="E45">
        <v>508</v>
      </c>
      <c r="F45">
        <v>1.5</v>
      </c>
      <c r="G45">
        <v>2400</v>
      </c>
    </row>
    <row r="46" spans="1:7" x14ac:dyDescent="0.35">
      <c r="A46" s="1">
        <v>45336</v>
      </c>
      <c r="B46" t="s">
        <v>7</v>
      </c>
      <c r="C46">
        <v>45</v>
      </c>
      <c r="D46">
        <v>8</v>
      </c>
      <c r="E46">
        <v>571</v>
      </c>
      <c r="F46">
        <v>0.18</v>
      </c>
      <c r="G46">
        <v>400</v>
      </c>
    </row>
    <row r="47" spans="1:7" x14ac:dyDescent="0.35">
      <c r="A47" s="1">
        <v>45337</v>
      </c>
      <c r="B47" t="s">
        <v>7</v>
      </c>
      <c r="C47">
        <v>32</v>
      </c>
      <c r="D47">
        <v>36</v>
      </c>
      <c r="E47">
        <v>526</v>
      </c>
      <c r="F47">
        <v>1.1200000000000001</v>
      </c>
      <c r="G47">
        <v>1800</v>
      </c>
    </row>
    <row r="48" spans="1:7" x14ac:dyDescent="0.35">
      <c r="A48" s="1">
        <v>45338</v>
      </c>
      <c r="B48" t="s">
        <v>7</v>
      </c>
      <c r="C48">
        <v>86</v>
      </c>
      <c r="D48">
        <v>35</v>
      </c>
      <c r="E48">
        <v>1021</v>
      </c>
      <c r="F48">
        <v>0.41</v>
      </c>
      <c r="G48">
        <v>1750</v>
      </c>
    </row>
    <row r="49" spans="1:7" x14ac:dyDescent="0.35">
      <c r="A49" s="1">
        <v>45339</v>
      </c>
      <c r="B49" t="s">
        <v>7</v>
      </c>
      <c r="C49">
        <v>42</v>
      </c>
      <c r="D49">
        <v>19</v>
      </c>
      <c r="E49">
        <v>158</v>
      </c>
      <c r="F49">
        <v>0.45</v>
      </c>
      <c r="G49">
        <v>950</v>
      </c>
    </row>
    <row r="50" spans="1:7" x14ac:dyDescent="0.35">
      <c r="A50" s="1">
        <v>45340</v>
      </c>
      <c r="B50" t="s">
        <v>7</v>
      </c>
      <c r="C50">
        <v>126</v>
      </c>
      <c r="D50">
        <v>12</v>
      </c>
      <c r="E50">
        <v>1608</v>
      </c>
      <c r="F50">
        <v>0.1</v>
      </c>
      <c r="G50">
        <v>600</v>
      </c>
    </row>
    <row r="51" spans="1:7" x14ac:dyDescent="0.35">
      <c r="A51" s="1">
        <v>45341</v>
      </c>
      <c r="B51" t="s">
        <v>7</v>
      </c>
      <c r="C51">
        <v>102</v>
      </c>
      <c r="D51">
        <v>35</v>
      </c>
      <c r="E51">
        <v>1610</v>
      </c>
      <c r="F51">
        <v>0.34</v>
      </c>
      <c r="G51">
        <v>1750</v>
      </c>
    </row>
    <row r="52" spans="1:7" x14ac:dyDescent="0.35">
      <c r="A52" s="1">
        <v>45342</v>
      </c>
      <c r="B52" t="s">
        <v>7</v>
      </c>
      <c r="C52">
        <v>30</v>
      </c>
      <c r="D52">
        <v>16</v>
      </c>
      <c r="E52">
        <v>382</v>
      </c>
      <c r="F52">
        <v>0.53</v>
      </c>
      <c r="G52">
        <v>800</v>
      </c>
    </row>
    <row r="53" spans="1:7" x14ac:dyDescent="0.35">
      <c r="A53" s="1">
        <v>45343</v>
      </c>
      <c r="B53" t="s">
        <v>7</v>
      </c>
      <c r="C53">
        <v>82</v>
      </c>
      <c r="D53">
        <v>6</v>
      </c>
      <c r="E53">
        <v>1645</v>
      </c>
      <c r="F53">
        <v>7.0000000000000007E-2</v>
      </c>
      <c r="G53">
        <v>300</v>
      </c>
    </row>
    <row r="54" spans="1:7" x14ac:dyDescent="0.35">
      <c r="A54" s="1">
        <v>45344</v>
      </c>
      <c r="B54" t="s">
        <v>7</v>
      </c>
      <c r="C54">
        <v>120</v>
      </c>
      <c r="D54">
        <v>6</v>
      </c>
      <c r="E54">
        <v>1354</v>
      </c>
      <c r="F54">
        <v>0.05</v>
      </c>
      <c r="G54">
        <v>300</v>
      </c>
    </row>
    <row r="55" spans="1:7" x14ac:dyDescent="0.35">
      <c r="A55" s="1">
        <v>45345</v>
      </c>
      <c r="B55" t="s">
        <v>7</v>
      </c>
      <c r="C55">
        <v>57</v>
      </c>
      <c r="D55">
        <v>45</v>
      </c>
      <c r="E55">
        <v>1420</v>
      </c>
      <c r="F55">
        <v>0.79</v>
      </c>
      <c r="G55">
        <v>2250</v>
      </c>
    </row>
    <row r="56" spans="1:7" x14ac:dyDescent="0.35">
      <c r="A56" s="1">
        <v>45346</v>
      </c>
      <c r="B56" t="s">
        <v>7</v>
      </c>
      <c r="C56">
        <v>58</v>
      </c>
      <c r="D56">
        <v>7</v>
      </c>
      <c r="E56">
        <v>669</v>
      </c>
      <c r="F56">
        <v>0.12</v>
      </c>
      <c r="G56">
        <v>350</v>
      </c>
    </row>
    <row r="57" spans="1:7" x14ac:dyDescent="0.35">
      <c r="A57" s="1">
        <v>45347</v>
      </c>
      <c r="B57" t="s">
        <v>7</v>
      </c>
      <c r="C57">
        <v>123</v>
      </c>
      <c r="D57">
        <v>43</v>
      </c>
      <c r="E57">
        <v>1006</v>
      </c>
      <c r="F57">
        <v>0.35</v>
      </c>
      <c r="G57">
        <v>2150</v>
      </c>
    </row>
    <row r="58" spans="1:7" x14ac:dyDescent="0.35">
      <c r="A58" s="1">
        <v>45348</v>
      </c>
      <c r="B58" t="s">
        <v>7</v>
      </c>
      <c r="C58">
        <v>71</v>
      </c>
      <c r="D58">
        <v>34</v>
      </c>
      <c r="E58">
        <v>1782</v>
      </c>
      <c r="F58">
        <v>0.48</v>
      </c>
      <c r="G58">
        <v>1700</v>
      </c>
    </row>
    <row r="59" spans="1:7" x14ac:dyDescent="0.35">
      <c r="A59" s="1">
        <v>45349</v>
      </c>
      <c r="B59" t="s">
        <v>7</v>
      </c>
      <c r="C59">
        <v>137</v>
      </c>
      <c r="D59">
        <v>14</v>
      </c>
      <c r="E59">
        <v>276</v>
      </c>
      <c r="F59">
        <v>0.1</v>
      </c>
      <c r="G59">
        <v>700</v>
      </c>
    </row>
    <row r="60" spans="1:7" x14ac:dyDescent="0.35">
      <c r="A60" s="1">
        <v>45350</v>
      </c>
      <c r="B60" t="s">
        <v>7</v>
      </c>
      <c r="C60">
        <v>91</v>
      </c>
      <c r="D60">
        <v>13</v>
      </c>
      <c r="E60">
        <v>1822</v>
      </c>
      <c r="F60">
        <v>0.14000000000000001</v>
      </c>
      <c r="G60">
        <v>650</v>
      </c>
    </row>
    <row r="61" spans="1:7" x14ac:dyDescent="0.35">
      <c r="A61" s="1">
        <v>45351</v>
      </c>
      <c r="B61" t="s">
        <v>7</v>
      </c>
      <c r="C61">
        <v>43</v>
      </c>
      <c r="D61">
        <v>49</v>
      </c>
      <c r="E61">
        <v>1936</v>
      </c>
      <c r="F61">
        <v>1.1399999999999999</v>
      </c>
      <c r="G61">
        <v>2450</v>
      </c>
    </row>
    <row r="62" spans="1:7" x14ac:dyDescent="0.35">
      <c r="A62" s="1">
        <v>45352</v>
      </c>
      <c r="B62" t="s">
        <v>7</v>
      </c>
      <c r="C62">
        <v>123</v>
      </c>
      <c r="D62">
        <v>10</v>
      </c>
      <c r="E62">
        <v>1933</v>
      </c>
      <c r="F62">
        <v>0.08</v>
      </c>
      <c r="G62">
        <v>500</v>
      </c>
    </row>
    <row r="63" spans="1:7" x14ac:dyDescent="0.35">
      <c r="A63" s="1">
        <v>45353</v>
      </c>
      <c r="B63" t="s">
        <v>7</v>
      </c>
      <c r="C63">
        <v>125</v>
      </c>
      <c r="D63">
        <v>33</v>
      </c>
      <c r="E63">
        <v>1061</v>
      </c>
      <c r="F63">
        <v>0.26</v>
      </c>
      <c r="G63">
        <v>1650</v>
      </c>
    </row>
    <row r="64" spans="1:7" x14ac:dyDescent="0.35">
      <c r="A64" s="1">
        <v>45354</v>
      </c>
      <c r="B64" t="s">
        <v>7</v>
      </c>
      <c r="C64">
        <v>102</v>
      </c>
      <c r="D64">
        <v>19</v>
      </c>
      <c r="E64">
        <v>332</v>
      </c>
      <c r="F64">
        <v>0.19</v>
      </c>
      <c r="G64">
        <v>950</v>
      </c>
    </row>
    <row r="65" spans="1:7" x14ac:dyDescent="0.35">
      <c r="A65" s="1">
        <v>45355</v>
      </c>
      <c r="B65" t="s">
        <v>7</v>
      </c>
      <c r="C65">
        <v>33</v>
      </c>
      <c r="D65">
        <v>18</v>
      </c>
      <c r="E65">
        <v>944</v>
      </c>
      <c r="F65">
        <v>0.55000000000000004</v>
      </c>
      <c r="G65">
        <v>900</v>
      </c>
    </row>
    <row r="66" spans="1:7" x14ac:dyDescent="0.35">
      <c r="A66" s="1">
        <v>45356</v>
      </c>
      <c r="B66" t="s">
        <v>7</v>
      </c>
      <c r="C66">
        <v>112</v>
      </c>
      <c r="D66">
        <v>27</v>
      </c>
      <c r="E66">
        <v>394</v>
      </c>
      <c r="F66">
        <v>0.24</v>
      </c>
      <c r="G66">
        <v>1350</v>
      </c>
    </row>
    <row r="67" spans="1:7" x14ac:dyDescent="0.35">
      <c r="A67" s="1">
        <v>45357</v>
      </c>
      <c r="B67" t="s">
        <v>7</v>
      </c>
      <c r="C67">
        <v>20</v>
      </c>
      <c r="D67">
        <v>30</v>
      </c>
      <c r="E67">
        <v>714</v>
      </c>
      <c r="F67">
        <v>1.5</v>
      </c>
      <c r="G67">
        <v>1500</v>
      </c>
    </row>
    <row r="68" spans="1:7" x14ac:dyDescent="0.35">
      <c r="A68" s="1">
        <v>45358</v>
      </c>
      <c r="B68" t="s">
        <v>7</v>
      </c>
      <c r="C68">
        <v>46</v>
      </c>
      <c r="D68">
        <v>43</v>
      </c>
      <c r="E68">
        <v>1108</v>
      </c>
      <c r="F68">
        <v>0.93</v>
      </c>
      <c r="G68">
        <v>2150</v>
      </c>
    </row>
    <row r="69" spans="1:7" x14ac:dyDescent="0.35">
      <c r="A69" s="1">
        <v>45359</v>
      </c>
      <c r="B69" t="s">
        <v>7</v>
      </c>
      <c r="C69">
        <v>142</v>
      </c>
      <c r="D69">
        <v>47</v>
      </c>
      <c r="E69">
        <v>1212</v>
      </c>
      <c r="F69">
        <v>0.33</v>
      </c>
      <c r="G69">
        <v>2350</v>
      </c>
    </row>
    <row r="70" spans="1:7" x14ac:dyDescent="0.35">
      <c r="A70" s="1">
        <v>45360</v>
      </c>
      <c r="B70" t="s">
        <v>7</v>
      </c>
      <c r="C70">
        <v>116</v>
      </c>
      <c r="D70">
        <v>40</v>
      </c>
      <c r="E70">
        <v>1427</v>
      </c>
      <c r="F70">
        <v>0.34</v>
      </c>
      <c r="G70">
        <v>2000</v>
      </c>
    </row>
    <row r="71" spans="1:7" x14ac:dyDescent="0.35">
      <c r="A71" s="1">
        <v>45361</v>
      </c>
      <c r="B71" t="s">
        <v>7</v>
      </c>
      <c r="C71">
        <v>104</v>
      </c>
      <c r="D71">
        <v>13</v>
      </c>
      <c r="E71">
        <v>1858</v>
      </c>
      <c r="F71">
        <v>0.12</v>
      </c>
      <c r="G71">
        <v>650</v>
      </c>
    </row>
    <row r="72" spans="1:7" x14ac:dyDescent="0.35">
      <c r="A72" s="1">
        <v>45362</v>
      </c>
      <c r="B72" t="s">
        <v>7</v>
      </c>
      <c r="C72">
        <v>141</v>
      </c>
      <c r="D72">
        <v>36</v>
      </c>
      <c r="E72">
        <v>727</v>
      </c>
      <c r="F72">
        <v>0.26</v>
      </c>
      <c r="G72">
        <v>1800</v>
      </c>
    </row>
    <row r="73" spans="1:7" x14ac:dyDescent="0.35">
      <c r="A73" s="1">
        <v>45363</v>
      </c>
      <c r="B73" t="s">
        <v>7</v>
      </c>
      <c r="C73">
        <v>113</v>
      </c>
      <c r="D73">
        <v>21</v>
      </c>
      <c r="E73">
        <v>1236</v>
      </c>
      <c r="F73">
        <v>0.19</v>
      </c>
      <c r="G73">
        <v>1050</v>
      </c>
    </row>
    <row r="74" spans="1:7" x14ac:dyDescent="0.35">
      <c r="A74" s="1">
        <v>45364</v>
      </c>
      <c r="B74" t="s">
        <v>7</v>
      </c>
      <c r="C74">
        <v>131</v>
      </c>
      <c r="D74">
        <v>17</v>
      </c>
      <c r="E74">
        <v>559</v>
      </c>
      <c r="F74">
        <v>0.13</v>
      </c>
      <c r="G74">
        <v>850</v>
      </c>
    </row>
    <row r="75" spans="1:7" x14ac:dyDescent="0.35">
      <c r="A75" s="1">
        <v>45365</v>
      </c>
      <c r="B75" t="s">
        <v>7</v>
      </c>
      <c r="C75">
        <v>135</v>
      </c>
      <c r="D75">
        <v>39</v>
      </c>
      <c r="E75">
        <v>524</v>
      </c>
      <c r="F75">
        <v>0.28999999999999998</v>
      </c>
      <c r="G75">
        <v>1950</v>
      </c>
    </row>
    <row r="76" spans="1:7" x14ac:dyDescent="0.35">
      <c r="A76" s="1">
        <v>45366</v>
      </c>
      <c r="B76" t="s">
        <v>7</v>
      </c>
      <c r="C76">
        <v>35</v>
      </c>
      <c r="D76">
        <v>7</v>
      </c>
      <c r="E76">
        <v>1426</v>
      </c>
      <c r="F76">
        <v>0.2</v>
      </c>
      <c r="G76">
        <v>350</v>
      </c>
    </row>
    <row r="77" spans="1:7" x14ac:dyDescent="0.35">
      <c r="A77" s="1">
        <v>45367</v>
      </c>
      <c r="B77" t="s">
        <v>7</v>
      </c>
      <c r="C77">
        <v>133</v>
      </c>
      <c r="D77">
        <v>42</v>
      </c>
      <c r="E77">
        <v>1454</v>
      </c>
      <c r="F77">
        <v>0.32</v>
      </c>
      <c r="G77">
        <v>2100</v>
      </c>
    </row>
    <row r="78" spans="1:7" x14ac:dyDescent="0.35">
      <c r="A78" s="1">
        <v>45368</v>
      </c>
      <c r="B78" t="s">
        <v>7</v>
      </c>
      <c r="C78">
        <v>149</v>
      </c>
      <c r="D78">
        <v>33</v>
      </c>
      <c r="E78">
        <v>481</v>
      </c>
      <c r="F78">
        <v>0.22</v>
      </c>
      <c r="G78">
        <v>1650</v>
      </c>
    </row>
    <row r="79" spans="1:7" x14ac:dyDescent="0.35">
      <c r="A79" s="1">
        <v>45369</v>
      </c>
      <c r="B79" t="s">
        <v>7</v>
      </c>
      <c r="C79">
        <v>109</v>
      </c>
      <c r="D79">
        <v>30</v>
      </c>
      <c r="E79">
        <v>1012</v>
      </c>
      <c r="F79">
        <v>0.28000000000000003</v>
      </c>
      <c r="G79">
        <v>1500</v>
      </c>
    </row>
    <row r="80" spans="1:7" x14ac:dyDescent="0.35">
      <c r="A80" s="1">
        <v>45370</v>
      </c>
      <c r="B80" t="s">
        <v>7</v>
      </c>
      <c r="C80">
        <v>101</v>
      </c>
      <c r="D80">
        <v>45</v>
      </c>
      <c r="E80">
        <v>1280</v>
      </c>
      <c r="F80">
        <v>0.45</v>
      </c>
      <c r="G80">
        <v>2250</v>
      </c>
    </row>
    <row r="81" spans="1:7" x14ac:dyDescent="0.35">
      <c r="A81" s="1">
        <v>45371</v>
      </c>
      <c r="B81" t="s">
        <v>7</v>
      </c>
      <c r="C81">
        <v>122</v>
      </c>
      <c r="D81">
        <v>49</v>
      </c>
      <c r="E81">
        <v>1320</v>
      </c>
      <c r="F81">
        <v>0.4</v>
      </c>
      <c r="G81">
        <v>2450</v>
      </c>
    </row>
    <row r="82" spans="1:7" x14ac:dyDescent="0.35">
      <c r="A82" s="1">
        <v>45372</v>
      </c>
      <c r="B82" t="s">
        <v>7</v>
      </c>
      <c r="C82">
        <v>56</v>
      </c>
      <c r="D82">
        <v>11</v>
      </c>
      <c r="E82">
        <v>1822</v>
      </c>
      <c r="F82">
        <v>0.2</v>
      </c>
      <c r="G82">
        <v>550</v>
      </c>
    </row>
    <row r="83" spans="1:7" x14ac:dyDescent="0.35">
      <c r="A83" s="1">
        <v>45373</v>
      </c>
      <c r="B83" t="s">
        <v>7</v>
      </c>
      <c r="C83">
        <v>42</v>
      </c>
      <c r="D83">
        <v>22</v>
      </c>
      <c r="E83">
        <v>926</v>
      </c>
      <c r="F83">
        <v>0.52</v>
      </c>
      <c r="G83">
        <v>1100</v>
      </c>
    </row>
    <row r="84" spans="1:7" x14ac:dyDescent="0.35">
      <c r="A84" s="1">
        <v>45374</v>
      </c>
      <c r="B84" t="s">
        <v>7</v>
      </c>
      <c r="C84">
        <v>110</v>
      </c>
      <c r="D84">
        <v>6</v>
      </c>
      <c r="E84">
        <v>1339</v>
      </c>
      <c r="F84">
        <v>0.05</v>
      </c>
      <c r="G84">
        <v>300</v>
      </c>
    </row>
    <row r="85" spans="1:7" x14ac:dyDescent="0.35">
      <c r="A85" s="1">
        <v>45375</v>
      </c>
      <c r="B85" t="s">
        <v>7</v>
      </c>
      <c r="C85">
        <v>134</v>
      </c>
      <c r="D85">
        <v>45</v>
      </c>
      <c r="E85">
        <v>1415</v>
      </c>
      <c r="F85">
        <v>0.34</v>
      </c>
      <c r="G85">
        <v>2250</v>
      </c>
    </row>
    <row r="86" spans="1:7" x14ac:dyDescent="0.35">
      <c r="A86" s="1">
        <v>45376</v>
      </c>
      <c r="B86" t="s">
        <v>7</v>
      </c>
      <c r="C86">
        <v>23</v>
      </c>
      <c r="D86">
        <v>25</v>
      </c>
      <c r="E86">
        <v>624</v>
      </c>
      <c r="F86">
        <v>1.0900000000000001</v>
      </c>
      <c r="G86">
        <v>1250</v>
      </c>
    </row>
    <row r="87" spans="1:7" x14ac:dyDescent="0.35">
      <c r="A87" s="1">
        <v>45377</v>
      </c>
      <c r="B87" t="s">
        <v>7</v>
      </c>
      <c r="C87">
        <v>63</v>
      </c>
      <c r="D87">
        <v>18</v>
      </c>
      <c r="E87">
        <v>260</v>
      </c>
      <c r="F87">
        <v>0.28999999999999998</v>
      </c>
      <c r="G87">
        <v>900</v>
      </c>
    </row>
    <row r="88" spans="1:7" x14ac:dyDescent="0.35">
      <c r="A88" s="1">
        <v>45378</v>
      </c>
      <c r="B88" t="s">
        <v>7</v>
      </c>
      <c r="C88">
        <v>98</v>
      </c>
      <c r="D88">
        <v>18</v>
      </c>
      <c r="E88">
        <v>510</v>
      </c>
      <c r="F88">
        <v>0.18</v>
      </c>
      <c r="G88">
        <v>900</v>
      </c>
    </row>
    <row r="89" spans="1:7" x14ac:dyDescent="0.35">
      <c r="A89" s="1">
        <v>45379</v>
      </c>
      <c r="B89" t="s">
        <v>7</v>
      </c>
      <c r="C89">
        <v>113</v>
      </c>
      <c r="D89">
        <v>27</v>
      </c>
      <c r="E89">
        <v>1022</v>
      </c>
      <c r="F89">
        <v>0.24</v>
      </c>
      <c r="G89">
        <v>1350</v>
      </c>
    </row>
    <row r="90" spans="1:7" x14ac:dyDescent="0.35">
      <c r="A90" s="1">
        <v>45380</v>
      </c>
      <c r="B90" t="s">
        <v>7</v>
      </c>
      <c r="C90">
        <v>102</v>
      </c>
      <c r="D90">
        <v>23</v>
      </c>
      <c r="E90">
        <v>920</v>
      </c>
      <c r="F90">
        <v>0.23</v>
      </c>
      <c r="G90">
        <v>1150</v>
      </c>
    </row>
    <row r="91" spans="1:7" x14ac:dyDescent="0.35">
      <c r="A91" s="1">
        <v>45381</v>
      </c>
      <c r="B91" t="s">
        <v>7</v>
      </c>
      <c r="C91">
        <v>92</v>
      </c>
      <c r="D91">
        <v>23</v>
      </c>
      <c r="E91">
        <v>453</v>
      </c>
      <c r="F91">
        <v>0.25</v>
      </c>
      <c r="G91">
        <v>1150</v>
      </c>
    </row>
    <row r="92" spans="1:7" x14ac:dyDescent="0.35">
      <c r="A92" s="1">
        <v>45292</v>
      </c>
      <c r="B92" t="s">
        <v>8</v>
      </c>
      <c r="C92">
        <v>99</v>
      </c>
      <c r="D92">
        <v>42</v>
      </c>
      <c r="E92">
        <v>1314</v>
      </c>
      <c r="F92">
        <v>0.42</v>
      </c>
      <c r="G92">
        <v>2100</v>
      </c>
    </row>
    <row r="93" spans="1:7" x14ac:dyDescent="0.35">
      <c r="A93" s="1">
        <v>45293</v>
      </c>
      <c r="B93" t="s">
        <v>8</v>
      </c>
      <c r="C93">
        <v>130</v>
      </c>
      <c r="D93">
        <v>18</v>
      </c>
      <c r="E93">
        <v>1440</v>
      </c>
      <c r="F93">
        <v>0.14000000000000001</v>
      </c>
      <c r="G93">
        <v>900</v>
      </c>
    </row>
    <row r="94" spans="1:7" x14ac:dyDescent="0.35">
      <c r="A94" s="1">
        <v>45294</v>
      </c>
      <c r="B94" t="s">
        <v>8</v>
      </c>
      <c r="C94">
        <v>108</v>
      </c>
      <c r="D94">
        <v>6</v>
      </c>
      <c r="E94">
        <v>1746</v>
      </c>
      <c r="F94">
        <v>0.06</v>
      </c>
      <c r="G94">
        <v>300</v>
      </c>
    </row>
    <row r="95" spans="1:7" x14ac:dyDescent="0.35">
      <c r="A95" s="1">
        <v>45295</v>
      </c>
      <c r="B95" t="s">
        <v>8</v>
      </c>
      <c r="C95">
        <v>133</v>
      </c>
      <c r="D95">
        <v>19</v>
      </c>
      <c r="E95">
        <v>1993</v>
      </c>
      <c r="F95">
        <v>0.14000000000000001</v>
      </c>
      <c r="G95">
        <v>950</v>
      </c>
    </row>
    <row r="96" spans="1:7" x14ac:dyDescent="0.35">
      <c r="A96" s="1">
        <v>45296</v>
      </c>
      <c r="B96" t="s">
        <v>8</v>
      </c>
      <c r="C96">
        <v>142</v>
      </c>
      <c r="D96">
        <v>13</v>
      </c>
      <c r="E96">
        <v>826</v>
      </c>
      <c r="F96">
        <v>0.09</v>
      </c>
      <c r="G96">
        <v>650</v>
      </c>
    </row>
    <row r="97" spans="1:7" x14ac:dyDescent="0.35">
      <c r="A97" s="1">
        <v>45297</v>
      </c>
      <c r="B97" t="s">
        <v>8</v>
      </c>
      <c r="C97">
        <v>121</v>
      </c>
      <c r="D97">
        <v>48</v>
      </c>
      <c r="E97">
        <v>1550</v>
      </c>
      <c r="F97">
        <v>0.4</v>
      </c>
      <c r="G97">
        <v>2400</v>
      </c>
    </row>
    <row r="98" spans="1:7" x14ac:dyDescent="0.35">
      <c r="A98" s="1">
        <v>45298</v>
      </c>
      <c r="B98" t="s">
        <v>8</v>
      </c>
      <c r="C98">
        <v>98</v>
      </c>
      <c r="D98">
        <v>7</v>
      </c>
      <c r="E98">
        <v>313</v>
      </c>
      <c r="F98">
        <v>7.0000000000000007E-2</v>
      </c>
      <c r="G98">
        <v>350</v>
      </c>
    </row>
    <row r="99" spans="1:7" x14ac:dyDescent="0.35">
      <c r="A99" s="1">
        <v>45299</v>
      </c>
      <c r="B99" t="s">
        <v>8</v>
      </c>
      <c r="C99">
        <v>73</v>
      </c>
      <c r="D99">
        <v>8</v>
      </c>
      <c r="E99">
        <v>354</v>
      </c>
      <c r="F99">
        <v>0.11</v>
      </c>
      <c r="G99">
        <v>400</v>
      </c>
    </row>
    <row r="100" spans="1:7" x14ac:dyDescent="0.35">
      <c r="A100" s="1">
        <v>45300</v>
      </c>
      <c r="B100" t="s">
        <v>8</v>
      </c>
      <c r="C100">
        <v>86</v>
      </c>
      <c r="D100">
        <v>31</v>
      </c>
      <c r="E100">
        <v>423</v>
      </c>
      <c r="F100">
        <v>0.36</v>
      </c>
      <c r="G100">
        <v>1550</v>
      </c>
    </row>
    <row r="101" spans="1:7" x14ac:dyDescent="0.35">
      <c r="A101" s="1">
        <v>45301</v>
      </c>
      <c r="B101" t="s">
        <v>8</v>
      </c>
      <c r="C101">
        <v>102</v>
      </c>
      <c r="D101">
        <v>49</v>
      </c>
      <c r="E101">
        <v>950</v>
      </c>
      <c r="F101">
        <v>0.48</v>
      </c>
      <c r="G101">
        <v>2450</v>
      </c>
    </row>
    <row r="102" spans="1:7" x14ac:dyDescent="0.35">
      <c r="A102" s="1">
        <v>45302</v>
      </c>
      <c r="B102" t="s">
        <v>8</v>
      </c>
      <c r="C102">
        <v>144</v>
      </c>
      <c r="D102">
        <v>27</v>
      </c>
      <c r="E102">
        <v>1775</v>
      </c>
      <c r="F102">
        <v>0.19</v>
      </c>
      <c r="G102">
        <v>1350</v>
      </c>
    </row>
    <row r="103" spans="1:7" x14ac:dyDescent="0.35">
      <c r="A103" s="1">
        <v>45303</v>
      </c>
      <c r="B103" t="s">
        <v>8</v>
      </c>
      <c r="C103">
        <v>23</v>
      </c>
      <c r="D103">
        <v>10</v>
      </c>
      <c r="E103">
        <v>355</v>
      </c>
      <c r="F103">
        <v>0.43</v>
      </c>
      <c r="G103">
        <v>500</v>
      </c>
    </row>
    <row r="104" spans="1:7" x14ac:dyDescent="0.35">
      <c r="A104" s="1">
        <v>45304</v>
      </c>
      <c r="B104" t="s">
        <v>8</v>
      </c>
      <c r="C104">
        <v>66</v>
      </c>
      <c r="D104">
        <v>9</v>
      </c>
      <c r="E104">
        <v>1424</v>
      </c>
      <c r="F104">
        <v>0.14000000000000001</v>
      </c>
      <c r="G104">
        <v>450</v>
      </c>
    </row>
    <row r="105" spans="1:7" x14ac:dyDescent="0.35">
      <c r="A105" s="1">
        <v>45305</v>
      </c>
      <c r="B105" t="s">
        <v>8</v>
      </c>
      <c r="C105">
        <v>145</v>
      </c>
      <c r="D105">
        <v>13</v>
      </c>
      <c r="E105">
        <v>1107</v>
      </c>
      <c r="F105">
        <v>0.09</v>
      </c>
      <c r="G105">
        <v>650</v>
      </c>
    </row>
    <row r="106" spans="1:7" x14ac:dyDescent="0.35">
      <c r="A106" s="1">
        <v>45306</v>
      </c>
      <c r="B106" t="s">
        <v>8</v>
      </c>
      <c r="C106">
        <v>95</v>
      </c>
      <c r="D106">
        <v>41</v>
      </c>
      <c r="E106">
        <v>1428</v>
      </c>
      <c r="F106">
        <v>0.43</v>
      </c>
      <c r="G106">
        <v>2050</v>
      </c>
    </row>
    <row r="107" spans="1:7" x14ac:dyDescent="0.35">
      <c r="A107" s="1">
        <v>45307</v>
      </c>
      <c r="B107" t="s">
        <v>8</v>
      </c>
      <c r="C107">
        <v>52</v>
      </c>
      <c r="D107">
        <v>8</v>
      </c>
      <c r="E107">
        <v>1058</v>
      </c>
      <c r="F107">
        <v>0.15</v>
      </c>
      <c r="G107">
        <v>400</v>
      </c>
    </row>
    <row r="108" spans="1:7" x14ac:dyDescent="0.35">
      <c r="A108" s="1">
        <v>45308</v>
      </c>
      <c r="B108" t="s">
        <v>8</v>
      </c>
      <c r="C108">
        <v>44</v>
      </c>
      <c r="D108">
        <v>43</v>
      </c>
      <c r="E108">
        <v>142</v>
      </c>
      <c r="F108">
        <v>0.98</v>
      </c>
      <c r="G108">
        <v>2150</v>
      </c>
    </row>
    <row r="109" spans="1:7" x14ac:dyDescent="0.35">
      <c r="A109" s="1">
        <v>45309</v>
      </c>
      <c r="B109" t="s">
        <v>8</v>
      </c>
      <c r="C109">
        <v>56</v>
      </c>
      <c r="D109">
        <v>18</v>
      </c>
      <c r="E109">
        <v>487</v>
      </c>
      <c r="F109">
        <v>0.32</v>
      </c>
      <c r="G109">
        <v>900</v>
      </c>
    </row>
    <row r="110" spans="1:7" x14ac:dyDescent="0.35">
      <c r="A110" s="1">
        <v>45310</v>
      </c>
      <c r="B110" t="s">
        <v>8</v>
      </c>
      <c r="C110">
        <v>136</v>
      </c>
      <c r="D110">
        <v>44</v>
      </c>
      <c r="E110">
        <v>754</v>
      </c>
      <c r="F110">
        <v>0.32</v>
      </c>
      <c r="G110">
        <v>2200</v>
      </c>
    </row>
    <row r="111" spans="1:7" x14ac:dyDescent="0.35">
      <c r="A111" s="1">
        <v>45311</v>
      </c>
      <c r="B111" t="s">
        <v>8</v>
      </c>
      <c r="C111">
        <v>126</v>
      </c>
      <c r="D111">
        <v>8</v>
      </c>
      <c r="E111">
        <v>1543</v>
      </c>
      <c r="F111">
        <v>0.06</v>
      </c>
      <c r="G111">
        <v>400</v>
      </c>
    </row>
    <row r="112" spans="1:7" x14ac:dyDescent="0.35">
      <c r="A112" s="1">
        <v>45312</v>
      </c>
      <c r="B112" t="s">
        <v>8</v>
      </c>
      <c r="C112">
        <v>23</v>
      </c>
      <c r="D112">
        <v>16</v>
      </c>
      <c r="E112">
        <v>1886</v>
      </c>
      <c r="F112">
        <v>0.7</v>
      </c>
      <c r="G112">
        <v>800</v>
      </c>
    </row>
    <row r="113" spans="1:7" x14ac:dyDescent="0.35">
      <c r="A113" s="1">
        <v>45313</v>
      </c>
      <c r="B113" t="s">
        <v>8</v>
      </c>
      <c r="C113">
        <v>73</v>
      </c>
      <c r="D113">
        <v>39</v>
      </c>
      <c r="E113">
        <v>457</v>
      </c>
      <c r="F113">
        <v>0.53</v>
      </c>
      <c r="G113">
        <v>1950</v>
      </c>
    </row>
    <row r="114" spans="1:7" x14ac:dyDescent="0.35">
      <c r="A114" s="1">
        <v>45314</v>
      </c>
      <c r="B114" t="s">
        <v>8</v>
      </c>
      <c r="C114">
        <v>129</v>
      </c>
      <c r="D114">
        <v>30</v>
      </c>
      <c r="E114">
        <v>1317</v>
      </c>
      <c r="F114">
        <v>0.23</v>
      </c>
      <c r="G114">
        <v>1500</v>
      </c>
    </row>
    <row r="115" spans="1:7" x14ac:dyDescent="0.35">
      <c r="A115" s="1">
        <v>45315</v>
      </c>
      <c r="B115" t="s">
        <v>8</v>
      </c>
      <c r="C115">
        <v>105</v>
      </c>
      <c r="D115">
        <v>18</v>
      </c>
      <c r="E115">
        <v>131</v>
      </c>
      <c r="F115">
        <v>0.17</v>
      </c>
      <c r="G115">
        <v>900</v>
      </c>
    </row>
    <row r="116" spans="1:7" x14ac:dyDescent="0.35">
      <c r="A116" s="1">
        <v>45316</v>
      </c>
      <c r="B116" t="s">
        <v>8</v>
      </c>
      <c r="C116">
        <v>68</v>
      </c>
      <c r="D116">
        <v>12</v>
      </c>
      <c r="E116">
        <v>947</v>
      </c>
      <c r="F116">
        <v>0.18</v>
      </c>
      <c r="G116">
        <v>600</v>
      </c>
    </row>
    <row r="117" spans="1:7" x14ac:dyDescent="0.35">
      <c r="A117" s="1">
        <v>45317</v>
      </c>
      <c r="B117" t="s">
        <v>8</v>
      </c>
      <c r="C117">
        <v>41</v>
      </c>
      <c r="D117">
        <v>14</v>
      </c>
      <c r="E117">
        <v>1316</v>
      </c>
      <c r="F117">
        <v>0.34</v>
      </c>
      <c r="G117">
        <v>700</v>
      </c>
    </row>
    <row r="118" spans="1:7" x14ac:dyDescent="0.35">
      <c r="A118" s="1">
        <v>45318</v>
      </c>
      <c r="B118" t="s">
        <v>8</v>
      </c>
      <c r="C118">
        <v>146</v>
      </c>
      <c r="D118">
        <v>14</v>
      </c>
      <c r="E118">
        <v>944</v>
      </c>
      <c r="F118">
        <v>0.1</v>
      </c>
      <c r="G118">
        <v>700</v>
      </c>
    </row>
    <row r="119" spans="1:7" x14ac:dyDescent="0.35">
      <c r="A119" s="1">
        <v>45319</v>
      </c>
      <c r="B119" t="s">
        <v>8</v>
      </c>
      <c r="C119">
        <v>49</v>
      </c>
      <c r="D119">
        <v>40</v>
      </c>
      <c r="E119">
        <v>991</v>
      </c>
      <c r="F119">
        <v>0.82</v>
      </c>
      <c r="G119">
        <v>2000</v>
      </c>
    </row>
    <row r="120" spans="1:7" x14ac:dyDescent="0.35">
      <c r="A120" s="1">
        <v>45320</v>
      </c>
      <c r="B120" t="s">
        <v>8</v>
      </c>
      <c r="C120">
        <v>111</v>
      </c>
      <c r="D120">
        <v>21</v>
      </c>
      <c r="E120">
        <v>538</v>
      </c>
      <c r="F120">
        <v>0.19</v>
      </c>
      <c r="G120">
        <v>1050</v>
      </c>
    </row>
    <row r="121" spans="1:7" x14ac:dyDescent="0.35">
      <c r="A121" s="1">
        <v>45321</v>
      </c>
      <c r="B121" t="s">
        <v>8</v>
      </c>
      <c r="C121">
        <v>78</v>
      </c>
      <c r="D121">
        <v>21</v>
      </c>
      <c r="E121">
        <v>820</v>
      </c>
      <c r="F121">
        <v>0.27</v>
      </c>
      <c r="G121">
        <v>1050</v>
      </c>
    </row>
    <row r="122" spans="1:7" x14ac:dyDescent="0.35">
      <c r="A122" s="1">
        <v>45322</v>
      </c>
      <c r="B122" t="s">
        <v>8</v>
      </c>
      <c r="C122">
        <v>92</v>
      </c>
      <c r="D122">
        <v>14</v>
      </c>
      <c r="E122">
        <v>1510</v>
      </c>
      <c r="F122">
        <v>0.15</v>
      </c>
      <c r="G122">
        <v>700</v>
      </c>
    </row>
    <row r="123" spans="1:7" x14ac:dyDescent="0.35">
      <c r="A123" s="1">
        <v>45323</v>
      </c>
      <c r="B123" t="s">
        <v>8</v>
      </c>
      <c r="C123">
        <v>27</v>
      </c>
      <c r="D123">
        <v>40</v>
      </c>
      <c r="E123">
        <v>161</v>
      </c>
      <c r="F123">
        <v>1.48</v>
      </c>
      <c r="G123">
        <v>2000</v>
      </c>
    </row>
    <row r="124" spans="1:7" x14ac:dyDescent="0.35">
      <c r="A124" s="1">
        <v>45324</v>
      </c>
      <c r="B124" t="s">
        <v>8</v>
      </c>
      <c r="C124">
        <v>52</v>
      </c>
      <c r="D124">
        <v>7</v>
      </c>
      <c r="E124">
        <v>1752</v>
      </c>
      <c r="F124">
        <v>0.13</v>
      </c>
      <c r="G124">
        <v>350</v>
      </c>
    </row>
    <row r="125" spans="1:7" x14ac:dyDescent="0.35">
      <c r="A125" s="1">
        <v>45325</v>
      </c>
      <c r="B125" t="s">
        <v>8</v>
      </c>
      <c r="C125">
        <v>68</v>
      </c>
      <c r="D125">
        <v>25</v>
      </c>
      <c r="E125">
        <v>1218</v>
      </c>
      <c r="F125">
        <v>0.37</v>
      </c>
      <c r="G125">
        <v>1250</v>
      </c>
    </row>
    <row r="126" spans="1:7" x14ac:dyDescent="0.35">
      <c r="A126" s="1">
        <v>45326</v>
      </c>
      <c r="B126" t="s">
        <v>8</v>
      </c>
      <c r="C126">
        <v>130</v>
      </c>
      <c r="D126">
        <v>6</v>
      </c>
      <c r="E126">
        <v>1338</v>
      </c>
      <c r="F126">
        <v>0.05</v>
      </c>
      <c r="G126">
        <v>300</v>
      </c>
    </row>
    <row r="127" spans="1:7" x14ac:dyDescent="0.35">
      <c r="A127" s="1">
        <v>45327</v>
      </c>
      <c r="B127" t="s">
        <v>8</v>
      </c>
      <c r="C127">
        <v>40</v>
      </c>
      <c r="D127">
        <v>22</v>
      </c>
      <c r="E127">
        <v>664</v>
      </c>
      <c r="F127">
        <v>0.55000000000000004</v>
      </c>
      <c r="G127">
        <v>1100</v>
      </c>
    </row>
    <row r="128" spans="1:7" x14ac:dyDescent="0.35">
      <c r="A128" s="1">
        <v>45328</v>
      </c>
      <c r="B128" t="s">
        <v>8</v>
      </c>
      <c r="C128">
        <v>120</v>
      </c>
      <c r="D128">
        <v>28</v>
      </c>
      <c r="E128">
        <v>1381</v>
      </c>
      <c r="F128">
        <v>0.23</v>
      </c>
      <c r="G128">
        <v>1400</v>
      </c>
    </row>
    <row r="129" spans="1:7" x14ac:dyDescent="0.35">
      <c r="A129" s="1">
        <v>45329</v>
      </c>
      <c r="B129" t="s">
        <v>8</v>
      </c>
      <c r="C129">
        <v>45</v>
      </c>
      <c r="D129">
        <v>49</v>
      </c>
      <c r="E129">
        <v>1813</v>
      </c>
      <c r="F129">
        <v>1.0900000000000001</v>
      </c>
      <c r="G129">
        <v>2450</v>
      </c>
    </row>
    <row r="130" spans="1:7" x14ac:dyDescent="0.35">
      <c r="A130" s="1">
        <v>45330</v>
      </c>
      <c r="B130" t="s">
        <v>8</v>
      </c>
      <c r="C130">
        <v>72</v>
      </c>
      <c r="D130">
        <v>29</v>
      </c>
      <c r="E130">
        <v>932</v>
      </c>
      <c r="F130">
        <v>0.4</v>
      </c>
      <c r="G130">
        <v>1450</v>
      </c>
    </row>
    <row r="131" spans="1:7" x14ac:dyDescent="0.35">
      <c r="A131" s="1">
        <v>45331</v>
      </c>
      <c r="B131" t="s">
        <v>8</v>
      </c>
      <c r="C131">
        <v>71</v>
      </c>
      <c r="D131">
        <v>38</v>
      </c>
      <c r="E131">
        <v>932</v>
      </c>
      <c r="F131">
        <v>0.54</v>
      </c>
      <c r="G131">
        <v>1900</v>
      </c>
    </row>
    <row r="132" spans="1:7" x14ac:dyDescent="0.35">
      <c r="A132" s="1">
        <v>45332</v>
      </c>
      <c r="B132" t="s">
        <v>8</v>
      </c>
      <c r="C132">
        <v>77</v>
      </c>
      <c r="D132">
        <v>21</v>
      </c>
      <c r="E132">
        <v>1274</v>
      </c>
      <c r="F132">
        <v>0.27</v>
      </c>
      <c r="G132">
        <v>1050</v>
      </c>
    </row>
    <row r="133" spans="1:7" x14ac:dyDescent="0.35">
      <c r="A133" s="1">
        <v>45333</v>
      </c>
      <c r="B133" t="s">
        <v>8</v>
      </c>
      <c r="C133">
        <v>126</v>
      </c>
      <c r="D133">
        <v>37</v>
      </c>
      <c r="E133">
        <v>536</v>
      </c>
      <c r="F133">
        <v>0.28999999999999998</v>
      </c>
      <c r="G133">
        <v>1850</v>
      </c>
    </row>
    <row r="134" spans="1:7" x14ac:dyDescent="0.35">
      <c r="A134" s="1">
        <v>45334</v>
      </c>
      <c r="B134" t="s">
        <v>8</v>
      </c>
      <c r="C134">
        <v>24</v>
      </c>
      <c r="D134">
        <v>40</v>
      </c>
      <c r="E134">
        <v>800</v>
      </c>
      <c r="F134">
        <v>1.67</v>
      </c>
      <c r="G134">
        <v>2000</v>
      </c>
    </row>
    <row r="135" spans="1:7" x14ac:dyDescent="0.35">
      <c r="A135" s="1">
        <v>45335</v>
      </c>
      <c r="B135" t="s">
        <v>8</v>
      </c>
      <c r="C135">
        <v>50</v>
      </c>
      <c r="D135">
        <v>35</v>
      </c>
      <c r="E135">
        <v>1560</v>
      </c>
      <c r="F135">
        <v>0.7</v>
      </c>
      <c r="G135">
        <v>1750</v>
      </c>
    </row>
    <row r="136" spans="1:7" x14ac:dyDescent="0.35">
      <c r="A136" s="1">
        <v>45336</v>
      </c>
      <c r="B136" t="s">
        <v>8</v>
      </c>
      <c r="C136">
        <v>70</v>
      </c>
      <c r="D136">
        <v>33</v>
      </c>
      <c r="E136">
        <v>874</v>
      </c>
      <c r="F136">
        <v>0.47</v>
      </c>
      <c r="G136">
        <v>1650</v>
      </c>
    </row>
    <row r="137" spans="1:7" x14ac:dyDescent="0.35">
      <c r="A137" s="1">
        <v>45337</v>
      </c>
      <c r="B137" t="s">
        <v>8</v>
      </c>
      <c r="C137">
        <v>67</v>
      </c>
      <c r="D137">
        <v>27</v>
      </c>
      <c r="E137">
        <v>1265</v>
      </c>
      <c r="F137">
        <v>0.4</v>
      </c>
      <c r="G137">
        <v>1350</v>
      </c>
    </row>
    <row r="138" spans="1:7" x14ac:dyDescent="0.35">
      <c r="A138" s="1">
        <v>45338</v>
      </c>
      <c r="B138" t="s">
        <v>8</v>
      </c>
      <c r="C138">
        <v>66</v>
      </c>
      <c r="D138">
        <v>17</v>
      </c>
      <c r="E138">
        <v>1691</v>
      </c>
      <c r="F138">
        <v>0.26</v>
      </c>
      <c r="G138">
        <v>850</v>
      </c>
    </row>
    <row r="139" spans="1:7" x14ac:dyDescent="0.35">
      <c r="A139" s="1">
        <v>45339</v>
      </c>
      <c r="B139" t="s">
        <v>8</v>
      </c>
      <c r="C139">
        <v>79</v>
      </c>
      <c r="D139">
        <v>10</v>
      </c>
      <c r="E139">
        <v>1808</v>
      </c>
      <c r="F139">
        <v>0.13</v>
      </c>
      <c r="G139">
        <v>500</v>
      </c>
    </row>
    <row r="140" spans="1:7" x14ac:dyDescent="0.35">
      <c r="A140" s="1">
        <v>45340</v>
      </c>
      <c r="B140" t="s">
        <v>8</v>
      </c>
      <c r="C140">
        <v>134</v>
      </c>
      <c r="D140">
        <v>41</v>
      </c>
      <c r="E140">
        <v>1346</v>
      </c>
      <c r="F140">
        <v>0.31</v>
      </c>
      <c r="G140">
        <v>2050</v>
      </c>
    </row>
    <row r="141" spans="1:7" x14ac:dyDescent="0.35">
      <c r="A141" s="1">
        <v>45341</v>
      </c>
      <c r="B141" t="s">
        <v>8</v>
      </c>
      <c r="C141">
        <v>65</v>
      </c>
      <c r="D141">
        <v>15</v>
      </c>
      <c r="E141">
        <v>1626</v>
      </c>
      <c r="F141">
        <v>0.23</v>
      </c>
      <c r="G141">
        <v>750</v>
      </c>
    </row>
    <row r="142" spans="1:7" x14ac:dyDescent="0.35">
      <c r="A142" s="1">
        <v>45342</v>
      </c>
      <c r="B142" t="s">
        <v>8</v>
      </c>
      <c r="C142">
        <v>134</v>
      </c>
      <c r="D142">
        <v>8</v>
      </c>
      <c r="E142">
        <v>1767</v>
      </c>
      <c r="F142">
        <v>0.06</v>
      </c>
      <c r="G142">
        <v>400</v>
      </c>
    </row>
    <row r="143" spans="1:7" x14ac:dyDescent="0.35">
      <c r="A143" s="1">
        <v>45343</v>
      </c>
      <c r="B143" t="s">
        <v>8</v>
      </c>
      <c r="C143">
        <v>62</v>
      </c>
      <c r="D143">
        <v>11</v>
      </c>
      <c r="E143">
        <v>957</v>
      </c>
      <c r="F143">
        <v>0.18</v>
      </c>
      <c r="G143">
        <v>550</v>
      </c>
    </row>
    <row r="144" spans="1:7" x14ac:dyDescent="0.35">
      <c r="A144" s="1">
        <v>45344</v>
      </c>
      <c r="B144" t="s">
        <v>8</v>
      </c>
      <c r="C144">
        <v>57</v>
      </c>
      <c r="D144">
        <v>10</v>
      </c>
      <c r="E144">
        <v>418</v>
      </c>
      <c r="F144">
        <v>0.18</v>
      </c>
      <c r="G144">
        <v>500</v>
      </c>
    </row>
    <row r="145" spans="1:7" x14ac:dyDescent="0.35">
      <c r="A145" s="1">
        <v>45345</v>
      </c>
      <c r="B145" t="s">
        <v>8</v>
      </c>
      <c r="C145">
        <v>129</v>
      </c>
      <c r="D145">
        <v>10</v>
      </c>
      <c r="E145">
        <v>1292</v>
      </c>
      <c r="F145">
        <v>0.08</v>
      </c>
      <c r="G145">
        <v>500</v>
      </c>
    </row>
    <row r="146" spans="1:7" x14ac:dyDescent="0.35">
      <c r="A146" s="1">
        <v>45346</v>
      </c>
      <c r="B146" t="s">
        <v>8</v>
      </c>
      <c r="C146">
        <v>89</v>
      </c>
      <c r="D146">
        <v>46</v>
      </c>
      <c r="E146">
        <v>718</v>
      </c>
      <c r="F146">
        <v>0.52</v>
      </c>
      <c r="G146">
        <v>2300</v>
      </c>
    </row>
    <row r="147" spans="1:7" x14ac:dyDescent="0.35">
      <c r="A147" s="1">
        <v>45347</v>
      </c>
      <c r="B147" t="s">
        <v>8</v>
      </c>
      <c r="C147">
        <v>76</v>
      </c>
      <c r="D147">
        <v>16</v>
      </c>
      <c r="E147">
        <v>1752</v>
      </c>
      <c r="F147">
        <v>0.21</v>
      </c>
      <c r="G147">
        <v>800</v>
      </c>
    </row>
    <row r="148" spans="1:7" x14ac:dyDescent="0.35">
      <c r="A148" s="1">
        <v>45348</v>
      </c>
      <c r="B148" t="s">
        <v>8</v>
      </c>
      <c r="C148">
        <v>49</v>
      </c>
      <c r="D148">
        <v>5</v>
      </c>
      <c r="E148">
        <v>1481</v>
      </c>
      <c r="F148">
        <v>0.1</v>
      </c>
      <c r="G148">
        <v>250</v>
      </c>
    </row>
    <row r="149" spans="1:7" x14ac:dyDescent="0.35">
      <c r="A149" s="1">
        <v>45349</v>
      </c>
      <c r="B149" t="s">
        <v>8</v>
      </c>
      <c r="C149">
        <v>112</v>
      </c>
      <c r="D149">
        <v>38</v>
      </c>
      <c r="E149">
        <v>837</v>
      </c>
      <c r="F149">
        <v>0.34</v>
      </c>
      <c r="G149">
        <v>1900</v>
      </c>
    </row>
    <row r="150" spans="1:7" x14ac:dyDescent="0.35">
      <c r="A150" s="1">
        <v>45350</v>
      </c>
      <c r="B150" t="s">
        <v>8</v>
      </c>
      <c r="C150">
        <v>127</v>
      </c>
      <c r="D150">
        <v>45</v>
      </c>
      <c r="E150">
        <v>119</v>
      </c>
      <c r="F150">
        <v>0.35</v>
      </c>
      <c r="G150">
        <v>2250</v>
      </c>
    </row>
    <row r="151" spans="1:7" x14ac:dyDescent="0.35">
      <c r="A151" s="1">
        <v>45351</v>
      </c>
      <c r="B151" t="s">
        <v>8</v>
      </c>
      <c r="C151">
        <v>59</v>
      </c>
      <c r="D151">
        <v>44</v>
      </c>
      <c r="E151">
        <v>456</v>
      </c>
      <c r="F151">
        <v>0.75</v>
      </c>
      <c r="G151">
        <v>2200</v>
      </c>
    </row>
    <row r="152" spans="1:7" x14ac:dyDescent="0.35">
      <c r="A152" s="1">
        <v>45352</v>
      </c>
      <c r="B152" t="s">
        <v>8</v>
      </c>
      <c r="C152">
        <v>131</v>
      </c>
      <c r="D152">
        <v>33</v>
      </c>
      <c r="E152">
        <v>1595</v>
      </c>
      <c r="F152">
        <v>0.25</v>
      </c>
      <c r="G152">
        <v>1650</v>
      </c>
    </row>
    <row r="153" spans="1:7" x14ac:dyDescent="0.35">
      <c r="A153" s="1">
        <v>45353</v>
      </c>
      <c r="B153" t="s">
        <v>8</v>
      </c>
      <c r="C153">
        <v>96</v>
      </c>
      <c r="D153">
        <v>36</v>
      </c>
      <c r="E153">
        <v>1158</v>
      </c>
      <c r="F153">
        <v>0.38</v>
      </c>
      <c r="G153">
        <v>1800</v>
      </c>
    </row>
    <row r="154" spans="1:7" x14ac:dyDescent="0.35">
      <c r="A154" s="1">
        <v>45354</v>
      </c>
      <c r="B154" t="s">
        <v>8</v>
      </c>
      <c r="C154">
        <v>43</v>
      </c>
      <c r="D154">
        <v>28</v>
      </c>
      <c r="E154">
        <v>1392</v>
      </c>
      <c r="F154">
        <v>0.65</v>
      </c>
      <c r="G154">
        <v>1400</v>
      </c>
    </row>
    <row r="155" spans="1:7" x14ac:dyDescent="0.35">
      <c r="A155" s="1">
        <v>45355</v>
      </c>
      <c r="B155" t="s">
        <v>8</v>
      </c>
      <c r="C155">
        <v>38</v>
      </c>
      <c r="D155">
        <v>25</v>
      </c>
      <c r="E155">
        <v>508</v>
      </c>
      <c r="F155">
        <v>0.66</v>
      </c>
      <c r="G155">
        <v>1250</v>
      </c>
    </row>
    <row r="156" spans="1:7" x14ac:dyDescent="0.35">
      <c r="A156" s="1">
        <v>45356</v>
      </c>
      <c r="B156" t="s">
        <v>8</v>
      </c>
      <c r="C156">
        <v>107</v>
      </c>
      <c r="D156">
        <v>14</v>
      </c>
      <c r="E156">
        <v>666</v>
      </c>
      <c r="F156">
        <v>0.13</v>
      </c>
      <c r="G156">
        <v>700</v>
      </c>
    </row>
    <row r="157" spans="1:7" x14ac:dyDescent="0.35">
      <c r="A157" s="1">
        <v>45357</v>
      </c>
      <c r="B157" t="s">
        <v>8</v>
      </c>
      <c r="C157">
        <v>54</v>
      </c>
      <c r="D157">
        <v>30</v>
      </c>
      <c r="E157">
        <v>999</v>
      </c>
      <c r="F157">
        <v>0.56000000000000005</v>
      </c>
      <c r="G157">
        <v>1500</v>
      </c>
    </row>
    <row r="158" spans="1:7" x14ac:dyDescent="0.35">
      <c r="A158" s="1">
        <v>45358</v>
      </c>
      <c r="B158" t="s">
        <v>8</v>
      </c>
      <c r="C158">
        <v>50</v>
      </c>
      <c r="D158">
        <v>44</v>
      </c>
      <c r="E158">
        <v>800</v>
      </c>
      <c r="F158">
        <v>0.88</v>
      </c>
      <c r="G158">
        <v>2200</v>
      </c>
    </row>
    <row r="159" spans="1:7" x14ac:dyDescent="0.35">
      <c r="A159" s="1">
        <v>45359</v>
      </c>
      <c r="B159" t="s">
        <v>8</v>
      </c>
      <c r="C159">
        <v>111</v>
      </c>
      <c r="D159">
        <v>20</v>
      </c>
      <c r="E159">
        <v>341</v>
      </c>
      <c r="F159">
        <v>0.18</v>
      </c>
      <c r="G159">
        <v>1000</v>
      </c>
    </row>
    <row r="160" spans="1:7" x14ac:dyDescent="0.35">
      <c r="A160" s="1">
        <v>45360</v>
      </c>
      <c r="B160" t="s">
        <v>8</v>
      </c>
      <c r="C160">
        <v>26</v>
      </c>
      <c r="D160">
        <v>34</v>
      </c>
      <c r="E160">
        <v>286</v>
      </c>
      <c r="F160">
        <v>1.31</v>
      </c>
      <c r="G160">
        <v>1700</v>
      </c>
    </row>
    <row r="161" spans="1:7" x14ac:dyDescent="0.35">
      <c r="A161" s="1">
        <v>45361</v>
      </c>
      <c r="B161" t="s">
        <v>8</v>
      </c>
      <c r="C161">
        <v>133</v>
      </c>
      <c r="D161">
        <v>26</v>
      </c>
      <c r="E161">
        <v>1592</v>
      </c>
      <c r="F161">
        <v>0.2</v>
      </c>
      <c r="G161">
        <v>1300</v>
      </c>
    </row>
    <row r="162" spans="1:7" x14ac:dyDescent="0.35">
      <c r="A162" s="1">
        <v>45362</v>
      </c>
      <c r="B162" t="s">
        <v>8</v>
      </c>
      <c r="C162">
        <v>122</v>
      </c>
      <c r="D162">
        <v>48</v>
      </c>
      <c r="E162">
        <v>616</v>
      </c>
      <c r="F162">
        <v>0.39</v>
      </c>
      <c r="G162">
        <v>2400</v>
      </c>
    </row>
    <row r="163" spans="1:7" x14ac:dyDescent="0.35">
      <c r="A163" s="1">
        <v>45363</v>
      </c>
      <c r="B163" t="s">
        <v>8</v>
      </c>
      <c r="C163">
        <v>88</v>
      </c>
      <c r="D163">
        <v>17</v>
      </c>
      <c r="E163">
        <v>962</v>
      </c>
      <c r="F163">
        <v>0.19</v>
      </c>
      <c r="G163">
        <v>850</v>
      </c>
    </row>
    <row r="164" spans="1:7" x14ac:dyDescent="0.35">
      <c r="A164" s="1">
        <v>45364</v>
      </c>
      <c r="B164" t="s">
        <v>8</v>
      </c>
      <c r="C164">
        <v>84</v>
      </c>
      <c r="D164">
        <v>24</v>
      </c>
      <c r="E164">
        <v>1669</v>
      </c>
      <c r="F164">
        <v>0.28999999999999998</v>
      </c>
      <c r="G164">
        <v>1200</v>
      </c>
    </row>
    <row r="165" spans="1:7" x14ac:dyDescent="0.35">
      <c r="A165" s="1">
        <v>45365</v>
      </c>
      <c r="B165" t="s">
        <v>8</v>
      </c>
      <c r="C165">
        <v>116</v>
      </c>
      <c r="D165">
        <v>14</v>
      </c>
      <c r="E165">
        <v>105</v>
      </c>
      <c r="F165">
        <v>0.12</v>
      </c>
      <c r="G165">
        <v>700</v>
      </c>
    </row>
    <row r="166" spans="1:7" x14ac:dyDescent="0.35">
      <c r="A166" s="1">
        <v>45366</v>
      </c>
      <c r="B166" t="s">
        <v>8</v>
      </c>
      <c r="C166">
        <v>120</v>
      </c>
      <c r="D166">
        <v>8</v>
      </c>
      <c r="E166">
        <v>315</v>
      </c>
      <c r="F166">
        <v>7.0000000000000007E-2</v>
      </c>
      <c r="G166">
        <v>400</v>
      </c>
    </row>
    <row r="167" spans="1:7" x14ac:dyDescent="0.35">
      <c r="A167" s="1">
        <v>45367</v>
      </c>
      <c r="B167" t="s">
        <v>8</v>
      </c>
      <c r="C167">
        <v>109</v>
      </c>
      <c r="D167">
        <v>29</v>
      </c>
      <c r="E167">
        <v>1940</v>
      </c>
      <c r="F167">
        <v>0.27</v>
      </c>
      <c r="G167">
        <v>1450</v>
      </c>
    </row>
    <row r="168" spans="1:7" x14ac:dyDescent="0.35">
      <c r="A168" s="1">
        <v>45368</v>
      </c>
      <c r="B168" t="s">
        <v>8</v>
      </c>
      <c r="C168">
        <v>125</v>
      </c>
      <c r="D168">
        <v>37</v>
      </c>
      <c r="E168">
        <v>647</v>
      </c>
      <c r="F168">
        <v>0.3</v>
      </c>
      <c r="G168">
        <v>1850</v>
      </c>
    </row>
    <row r="169" spans="1:7" x14ac:dyDescent="0.35">
      <c r="A169" s="1">
        <v>45369</v>
      </c>
      <c r="B169" t="s">
        <v>8</v>
      </c>
      <c r="C169">
        <v>129</v>
      </c>
      <c r="D169">
        <v>41</v>
      </c>
      <c r="E169">
        <v>625</v>
      </c>
      <c r="F169">
        <v>0.32</v>
      </c>
      <c r="G169">
        <v>2050</v>
      </c>
    </row>
    <row r="170" spans="1:7" x14ac:dyDescent="0.35">
      <c r="A170" s="1">
        <v>45370</v>
      </c>
      <c r="B170" t="s">
        <v>8</v>
      </c>
      <c r="C170">
        <v>139</v>
      </c>
      <c r="D170">
        <v>12</v>
      </c>
      <c r="E170">
        <v>1510</v>
      </c>
      <c r="F170">
        <v>0.09</v>
      </c>
      <c r="G170">
        <v>600</v>
      </c>
    </row>
    <row r="171" spans="1:7" x14ac:dyDescent="0.35">
      <c r="A171" s="1">
        <v>45371</v>
      </c>
      <c r="B171" t="s">
        <v>8</v>
      </c>
      <c r="C171">
        <v>127</v>
      </c>
      <c r="D171">
        <v>35</v>
      </c>
      <c r="E171">
        <v>633</v>
      </c>
      <c r="F171">
        <v>0.28000000000000003</v>
      </c>
      <c r="G171">
        <v>1750</v>
      </c>
    </row>
    <row r="172" spans="1:7" x14ac:dyDescent="0.35">
      <c r="A172" s="1">
        <v>45372</v>
      </c>
      <c r="B172" t="s">
        <v>8</v>
      </c>
      <c r="C172">
        <v>105</v>
      </c>
      <c r="D172">
        <v>42</v>
      </c>
      <c r="E172">
        <v>1717</v>
      </c>
      <c r="F172">
        <v>0.4</v>
      </c>
      <c r="G172">
        <v>2100</v>
      </c>
    </row>
    <row r="173" spans="1:7" x14ac:dyDescent="0.35">
      <c r="A173" s="1">
        <v>45373</v>
      </c>
      <c r="B173" t="s">
        <v>8</v>
      </c>
      <c r="C173">
        <v>49</v>
      </c>
      <c r="D173">
        <v>12</v>
      </c>
      <c r="E173">
        <v>1030</v>
      </c>
      <c r="F173">
        <v>0.24</v>
      </c>
      <c r="G173">
        <v>600</v>
      </c>
    </row>
    <row r="174" spans="1:7" x14ac:dyDescent="0.35">
      <c r="A174" s="1">
        <v>45374</v>
      </c>
      <c r="B174" t="s">
        <v>8</v>
      </c>
      <c r="C174">
        <v>105</v>
      </c>
      <c r="D174">
        <v>22</v>
      </c>
      <c r="E174">
        <v>1220</v>
      </c>
      <c r="F174">
        <v>0.21</v>
      </c>
      <c r="G174">
        <v>1100</v>
      </c>
    </row>
    <row r="175" spans="1:7" x14ac:dyDescent="0.35">
      <c r="A175" s="1">
        <v>45375</v>
      </c>
      <c r="B175" t="s">
        <v>8</v>
      </c>
      <c r="C175">
        <v>96</v>
      </c>
      <c r="D175">
        <v>33</v>
      </c>
      <c r="E175">
        <v>705</v>
      </c>
      <c r="F175">
        <v>0.34</v>
      </c>
      <c r="G175">
        <v>1650</v>
      </c>
    </row>
    <row r="176" spans="1:7" x14ac:dyDescent="0.35">
      <c r="A176" s="1">
        <v>45376</v>
      </c>
      <c r="B176" t="s">
        <v>8</v>
      </c>
      <c r="C176">
        <v>98</v>
      </c>
      <c r="D176">
        <v>32</v>
      </c>
      <c r="E176">
        <v>1255</v>
      </c>
      <c r="F176">
        <v>0.33</v>
      </c>
      <c r="G176">
        <v>1600</v>
      </c>
    </row>
    <row r="177" spans="1:7" x14ac:dyDescent="0.35">
      <c r="A177" s="1">
        <v>45377</v>
      </c>
      <c r="B177" t="s">
        <v>8</v>
      </c>
      <c r="C177">
        <v>25</v>
      </c>
      <c r="D177">
        <v>49</v>
      </c>
      <c r="E177">
        <v>590</v>
      </c>
      <c r="F177">
        <v>1.96</v>
      </c>
      <c r="G177">
        <v>2450</v>
      </c>
    </row>
    <row r="178" spans="1:7" x14ac:dyDescent="0.35">
      <c r="A178" s="1">
        <v>45378</v>
      </c>
      <c r="B178" t="s">
        <v>8</v>
      </c>
      <c r="C178">
        <v>117</v>
      </c>
      <c r="D178">
        <v>47</v>
      </c>
      <c r="E178">
        <v>1148</v>
      </c>
      <c r="F178">
        <v>0.4</v>
      </c>
      <c r="G178">
        <v>2350</v>
      </c>
    </row>
    <row r="179" spans="1:7" x14ac:dyDescent="0.35">
      <c r="A179" s="1">
        <v>45379</v>
      </c>
      <c r="B179" t="s">
        <v>8</v>
      </c>
      <c r="C179">
        <v>96</v>
      </c>
      <c r="D179">
        <v>46</v>
      </c>
      <c r="E179">
        <v>1905</v>
      </c>
      <c r="F179">
        <v>0.48</v>
      </c>
      <c r="G179">
        <v>2300</v>
      </c>
    </row>
    <row r="180" spans="1:7" x14ac:dyDescent="0.35">
      <c r="A180" s="1">
        <v>45380</v>
      </c>
      <c r="B180" t="s">
        <v>8</v>
      </c>
      <c r="C180">
        <v>99</v>
      </c>
      <c r="D180">
        <v>13</v>
      </c>
      <c r="E180">
        <v>527</v>
      </c>
      <c r="F180">
        <v>0.13</v>
      </c>
      <c r="G180">
        <v>650</v>
      </c>
    </row>
    <row r="181" spans="1:7" x14ac:dyDescent="0.35">
      <c r="A181" s="1">
        <v>45381</v>
      </c>
      <c r="B181" t="s">
        <v>8</v>
      </c>
      <c r="C181">
        <v>132</v>
      </c>
      <c r="D181">
        <v>15</v>
      </c>
      <c r="E181">
        <v>713</v>
      </c>
      <c r="F181">
        <v>0.11</v>
      </c>
      <c r="G181">
        <v>750</v>
      </c>
    </row>
    <row r="182" spans="1:7" x14ac:dyDescent="0.35">
      <c r="A182" s="1">
        <v>45292</v>
      </c>
      <c r="B182" t="s">
        <v>9</v>
      </c>
      <c r="C182">
        <v>141</v>
      </c>
      <c r="D182">
        <v>34</v>
      </c>
      <c r="E182">
        <v>1666</v>
      </c>
      <c r="F182">
        <v>0.24</v>
      </c>
      <c r="G182">
        <v>1700</v>
      </c>
    </row>
    <row r="183" spans="1:7" x14ac:dyDescent="0.35">
      <c r="A183" s="1">
        <v>45293</v>
      </c>
      <c r="B183" t="s">
        <v>9</v>
      </c>
      <c r="C183">
        <v>73</v>
      </c>
      <c r="D183">
        <v>25</v>
      </c>
      <c r="E183">
        <v>131</v>
      </c>
      <c r="F183">
        <v>0.34</v>
      </c>
      <c r="G183">
        <v>1250</v>
      </c>
    </row>
    <row r="184" spans="1:7" x14ac:dyDescent="0.35">
      <c r="A184" s="1">
        <v>45294</v>
      </c>
      <c r="B184" t="s">
        <v>9</v>
      </c>
      <c r="C184">
        <v>56</v>
      </c>
      <c r="D184">
        <v>33</v>
      </c>
      <c r="E184">
        <v>229</v>
      </c>
      <c r="F184">
        <v>0.59</v>
      </c>
      <c r="G184">
        <v>1650</v>
      </c>
    </row>
    <row r="185" spans="1:7" x14ac:dyDescent="0.35">
      <c r="A185" s="1">
        <v>45295</v>
      </c>
      <c r="B185" t="s">
        <v>9</v>
      </c>
      <c r="C185">
        <v>149</v>
      </c>
      <c r="D185">
        <v>6</v>
      </c>
      <c r="E185">
        <v>358</v>
      </c>
      <c r="F185">
        <v>0.04</v>
      </c>
      <c r="G185">
        <v>300</v>
      </c>
    </row>
    <row r="186" spans="1:7" x14ac:dyDescent="0.35">
      <c r="A186" s="1">
        <v>45296</v>
      </c>
      <c r="B186" t="s">
        <v>9</v>
      </c>
      <c r="C186">
        <v>32</v>
      </c>
      <c r="D186">
        <v>32</v>
      </c>
      <c r="E186">
        <v>300</v>
      </c>
      <c r="F186">
        <v>1</v>
      </c>
      <c r="G186">
        <v>1600</v>
      </c>
    </row>
    <row r="187" spans="1:7" x14ac:dyDescent="0.35">
      <c r="A187" s="1">
        <v>45297</v>
      </c>
      <c r="B187" t="s">
        <v>9</v>
      </c>
      <c r="C187">
        <v>147</v>
      </c>
      <c r="D187">
        <v>17</v>
      </c>
      <c r="E187">
        <v>161</v>
      </c>
      <c r="F187">
        <v>0.12</v>
      </c>
      <c r="G187">
        <v>850</v>
      </c>
    </row>
    <row r="188" spans="1:7" x14ac:dyDescent="0.35">
      <c r="A188" s="1">
        <v>45298</v>
      </c>
      <c r="B188" t="s">
        <v>9</v>
      </c>
      <c r="C188">
        <v>139</v>
      </c>
      <c r="D188">
        <v>9</v>
      </c>
      <c r="E188">
        <v>565</v>
      </c>
      <c r="F188">
        <v>0.06</v>
      </c>
      <c r="G188">
        <v>450</v>
      </c>
    </row>
    <row r="189" spans="1:7" x14ac:dyDescent="0.35">
      <c r="A189" s="1">
        <v>45299</v>
      </c>
      <c r="B189" t="s">
        <v>9</v>
      </c>
      <c r="C189">
        <v>145</v>
      </c>
      <c r="D189">
        <v>40</v>
      </c>
      <c r="E189">
        <v>271</v>
      </c>
      <c r="F189">
        <v>0.28000000000000003</v>
      </c>
      <c r="G189">
        <v>2000</v>
      </c>
    </row>
    <row r="190" spans="1:7" x14ac:dyDescent="0.35">
      <c r="A190" s="1">
        <v>45300</v>
      </c>
      <c r="B190" t="s">
        <v>9</v>
      </c>
      <c r="C190">
        <v>88</v>
      </c>
      <c r="D190">
        <v>41</v>
      </c>
      <c r="E190">
        <v>748</v>
      </c>
      <c r="F190">
        <v>0.47</v>
      </c>
      <c r="G190">
        <v>2050</v>
      </c>
    </row>
    <row r="191" spans="1:7" x14ac:dyDescent="0.35">
      <c r="A191" s="1">
        <v>45301</v>
      </c>
      <c r="B191" t="s">
        <v>9</v>
      </c>
      <c r="C191">
        <v>99</v>
      </c>
      <c r="D191">
        <v>25</v>
      </c>
      <c r="E191">
        <v>1391</v>
      </c>
      <c r="F191">
        <v>0.25</v>
      </c>
      <c r="G191">
        <v>1250</v>
      </c>
    </row>
    <row r="192" spans="1:7" x14ac:dyDescent="0.35">
      <c r="A192" s="1">
        <v>45302</v>
      </c>
      <c r="B192" t="s">
        <v>9</v>
      </c>
      <c r="C192">
        <v>55</v>
      </c>
      <c r="D192">
        <v>14</v>
      </c>
      <c r="E192">
        <v>923</v>
      </c>
      <c r="F192">
        <v>0.25</v>
      </c>
      <c r="G192">
        <v>700</v>
      </c>
    </row>
    <row r="193" spans="1:7" x14ac:dyDescent="0.35">
      <c r="A193" s="1">
        <v>45303</v>
      </c>
      <c r="B193" t="s">
        <v>9</v>
      </c>
      <c r="C193">
        <v>79</v>
      </c>
      <c r="D193">
        <v>41</v>
      </c>
      <c r="E193">
        <v>1138</v>
      </c>
      <c r="F193">
        <v>0.52</v>
      </c>
      <c r="G193">
        <v>2050</v>
      </c>
    </row>
    <row r="194" spans="1:7" x14ac:dyDescent="0.35">
      <c r="A194" s="1">
        <v>45304</v>
      </c>
      <c r="B194" t="s">
        <v>9</v>
      </c>
      <c r="C194">
        <v>108</v>
      </c>
      <c r="D194">
        <v>31</v>
      </c>
      <c r="E194">
        <v>1579</v>
      </c>
      <c r="F194">
        <v>0.28999999999999998</v>
      </c>
      <c r="G194">
        <v>1550</v>
      </c>
    </row>
    <row r="195" spans="1:7" x14ac:dyDescent="0.35">
      <c r="A195" s="1">
        <v>45305</v>
      </c>
      <c r="B195" t="s">
        <v>9</v>
      </c>
      <c r="C195">
        <v>58</v>
      </c>
      <c r="D195">
        <v>26</v>
      </c>
      <c r="E195">
        <v>429</v>
      </c>
      <c r="F195">
        <v>0.45</v>
      </c>
      <c r="G195">
        <v>1300</v>
      </c>
    </row>
    <row r="196" spans="1:7" x14ac:dyDescent="0.35">
      <c r="A196" s="1">
        <v>45306</v>
      </c>
      <c r="B196" t="s">
        <v>9</v>
      </c>
      <c r="C196">
        <v>32</v>
      </c>
      <c r="D196">
        <v>26</v>
      </c>
      <c r="E196">
        <v>119</v>
      </c>
      <c r="F196">
        <v>0.81</v>
      </c>
      <c r="G196">
        <v>1300</v>
      </c>
    </row>
    <row r="197" spans="1:7" x14ac:dyDescent="0.35">
      <c r="A197" s="1">
        <v>45307</v>
      </c>
      <c r="B197" t="s">
        <v>9</v>
      </c>
      <c r="C197">
        <v>64</v>
      </c>
      <c r="D197">
        <v>6</v>
      </c>
      <c r="E197">
        <v>1220</v>
      </c>
      <c r="F197">
        <v>0.09</v>
      </c>
      <c r="G197">
        <v>300</v>
      </c>
    </row>
    <row r="198" spans="1:7" x14ac:dyDescent="0.35">
      <c r="A198" s="1">
        <v>45308</v>
      </c>
      <c r="B198" t="s">
        <v>9</v>
      </c>
      <c r="C198">
        <v>89</v>
      </c>
      <c r="D198">
        <v>38</v>
      </c>
      <c r="E198">
        <v>1153</v>
      </c>
      <c r="F198">
        <v>0.43</v>
      </c>
      <c r="G198">
        <v>1900</v>
      </c>
    </row>
    <row r="199" spans="1:7" x14ac:dyDescent="0.35">
      <c r="A199" s="1">
        <v>45309</v>
      </c>
      <c r="B199" t="s">
        <v>9</v>
      </c>
      <c r="C199">
        <v>27</v>
      </c>
      <c r="D199">
        <v>26</v>
      </c>
      <c r="E199">
        <v>806</v>
      </c>
      <c r="F199">
        <v>0.96</v>
      </c>
      <c r="G199">
        <v>1300</v>
      </c>
    </row>
    <row r="200" spans="1:7" x14ac:dyDescent="0.35">
      <c r="A200" s="1">
        <v>45310</v>
      </c>
      <c r="B200" t="s">
        <v>9</v>
      </c>
      <c r="C200">
        <v>62</v>
      </c>
      <c r="D200">
        <v>8</v>
      </c>
      <c r="E200">
        <v>1282</v>
      </c>
      <c r="F200">
        <v>0.13</v>
      </c>
      <c r="G200">
        <v>400</v>
      </c>
    </row>
    <row r="201" spans="1:7" x14ac:dyDescent="0.35">
      <c r="A201" s="1">
        <v>45311</v>
      </c>
      <c r="B201" t="s">
        <v>9</v>
      </c>
      <c r="C201">
        <v>33</v>
      </c>
      <c r="D201">
        <v>27</v>
      </c>
      <c r="E201">
        <v>282</v>
      </c>
      <c r="F201">
        <v>0.82</v>
      </c>
      <c r="G201">
        <v>1350</v>
      </c>
    </row>
    <row r="202" spans="1:7" x14ac:dyDescent="0.35">
      <c r="A202" s="1">
        <v>45312</v>
      </c>
      <c r="B202" t="s">
        <v>9</v>
      </c>
      <c r="C202">
        <v>133</v>
      </c>
      <c r="D202">
        <v>21</v>
      </c>
      <c r="E202">
        <v>1824</v>
      </c>
      <c r="F202">
        <v>0.16</v>
      </c>
      <c r="G202">
        <v>1050</v>
      </c>
    </row>
    <row r="203" spans="1:7" x14ac:dyDescent="0.35">
      <c r="A203" s="1">
        <v>45313</v>
      </c>
      <c r="B203" t="s">
        <v>9</v>
      </c>
      <c r="C203">
        <v>148</v>
      </c>
      <c r="D203">
        <v>16</v>
      </c>
      <c r="E203">
        <v>398</v>
      </c>
      <c r="F203">
        <v>0.11</v>
      </c>
      <c r="G203">
        <v>800</v>
      </c>
    </row>
    <row r="204" spans="1:7" x14ac:dyDescent="0.35">
      <c r="A204" s="1">
        <v>45314</v>
      </c>
      <c r="B204" t="s">
        <v>9</v>
      </c>
      <c r="C204">
        <v>21</v>
      </c>
      <c r="D204">
        <v>13</v>
      </c>
      <c r="E204">
        <v>1732</v>
      </c>
      <c r="F204">
        <v>0.62</v>
      </c>
      <c r="G204">
        <v>650</v>
      </c>
    </row>
    <row r="205" spans="1:7" x14ac:dyDescent="0.35">
      <c r="A205" s="1">
        <v>45315</v>
      </c>
      <c r="B205" t="s">
        <v>9</v>
      </c>
      <c r="C205">
        <v>32</v>
      </c>
      <c r="D205">
        <v>48</v>
      </c>
      <c r="E205">
        <v>1161</v>
      </c>
      <c r="F205">
        <v>1.5</v>
      </c>
      <c r="G205">
        <v>2400</v>
      </c>
    </row>
    <row r="206" spans="1:7" x14ac:dyDescent="0.35">
      <c r="A206" s="1">
        <v>45316</v>
      </c>
      <c r="B206" t="s">
        <v>9</v>
      </c>
      <c r="C206">
        <v>106</v>
      </c>
      <c r="D206">
        <v>43</v>
      </c>
      <c r="E206">
        <v>163</v>
      </c>
      <c r="F206">
        <v>0.41</v>
      </c>
      <c r="G206">
        <v>2150</v>
      </c>
    </row>
    <row r="207" spans="1:7" x14ac:dyDescent="0.35">
      <c r="A207" s="1">
        <v>45317</v>
      </c>
      <c r="B207" t="s">
        <v>9</v>
      </c>
      <c r="C207">
        <v>87</v>
      </c>
      <c r="D207">
        <v>6</v>
      </c>
      <c r="E207">
        <v>202</v>
      </c>
      <c r="F207">
        <v>7.0000000000000007E-2</v>
      </c>
      <c r="G207">
        <v>300</v>
      </c>
    </row>
    <row r="208" spans="1:7" x14ac:dyDescent="0.35">
      <c r="A208" s="1">
        <v>45318</v>
      </c>
      <c r="B208" t="s">
        <v>9</v>
      </c>
      <c r="C208">
        <v>104</v>
      </c>
      <c r="D208">
        <v>8</v>
      </c>
      <c r="E208">
        <v>1176</v>
      </c>
      <c r="F208">
        <v>0.08</v>
      </c>
      <c r="G208">
        <v>400</v>
      </c>
    </row>
    <row r="209" spans="1:7" x14ac:dyDescent="0.35">
      <c r="A209" s="1">
        <v>45319</v>
      </c>
      <c r="B209" t="s">
        <v>9</v>
      </c>
      <c r="C209">
        <v>40</v>
      </c>
      <c r="D209">
        <v>28</v>
      </c>
      <c r="E209">
        <v>1823</v>
      </c>
      <c r="F209">
        <v>0.7</v>
      </c>
      <c r="G209">
        <v>1400</v>
      </c>
    </row>
    <row r="210" spans="1:7" x14ac:dyDescent="0.35">
      <c r="A210" s="1">
        <v>45320</v>
      </c>
      <c r="B210" t="s">
        <v>9</v>
      </c>
      <c r="C210">
        <v>124</v>
      </c>
      <c r="D210">
        <v>19</v>
      </c>
      <c r="E210">
        <v>1082</v>
      </c>
      <c r="F210">
        <v>0.15</v>
      </c>
      <c r="G210">
        <v>950</v>
      </c>
    </row>
    <row r="211" spans="1:7" x14ac:dyDescent="0.35">
      <c r="A211" s="1">
        <v>45321</v>
      </c>
      <c r="B211" t="s">
        <v>9</v>
      </c>
      <c r="C211">
        <v>116</v>
      </c>
      <c r="D211">
        <v>42</v>
      </c>
      <c r="E211">
        <v>589</v>
      </c>
      <c r="F211">
        <v>0.36</v>
      </c>
      <c r="G211">
        <v>2100</v>
      </c>
    </row>
    <row r="212" spans="1:7" x14ac:dyDescent="0.35">
      <c r="A212" s="1">
        <v>45322</v>
      </c>
      <c r="B212" t="s">
        <v>9</v>
      </c>
      <c r="C212">
        <v>129</v>
      </c>
      <c r="D212">
        <v>23</v>
      </c>
      <c r="E212">
        <v>1819</v>
      </c>
      <c r="F212">
        <v>0.18</v>
      </c>
      <c r="G212">
        <v>1150</v>
      </c>
    </row>
    <row r="213" spans="1:7" x14ac:dyDescent="0.35">
      <c r="A213" s="1">
        <v>45323</v>
      </c>
      <c r="B213" t="s">
        <v>9</v>
      </c>
      <c r="C213">
        <v>94</v>
      </c>
      <c r="D213">
        <v>6</v>
      </c>
      <c r="E213">
        <v>656</v>
      </c>
      <c r="F213">
        <v>0.06</v>
      </c>
      <c r="G213">
        <v>300</v>
      </c>
    </row>
    <row r="214" spans="1:7" x14ac:dyDescent="0.35">
      <c r="A214" s="1">
        <v>45324</v>
      </c>
      <c r="B214" t="s">
        <v>9</v>
      </c>
      <c r="C214">
        <v>73</v>
      </c>
      <c r="D214">
        <v>33</v>
      </c>
      <c r="E214">
        <v>444</v>
      </c>
      <c r="F214">
        <v>0.45</v>
      </c>
      <c r="G214">
        <v>1650</v>
      </c>
    </row>
    <row r="215" spans="1:7" x14ac:dyDescent="0.35">
      <c r="A215" s="1">
        <v>45325</v>
      </c>
      <c r="B215" t="s">
        <v>9</v>
      </c>
      <c r="C215">
        <v>85</v>
      </c>
      <c r="D215">
        <v>28</v>
      </c>
      <c r="E215">
        <v>210</v>
      </c>
      <c r="F215">
        <v>0.33</v>
      </c>
      <c r="G215">
        <v>1400</v>
      </c>
    </row>
    <row r="216" spans="1:7" x14ac:dyDescent="0.35">
      <c r="A216" s="1">
        <v>45326</v>
      </c>
      <c r="B216" t="s">
        <v>9</v>
      </c>
      <c r="C216">
        <v>66</v>
      </c>
      <c r="D216">
        <v>22</v>
      </c>
      <c r="E216">
        <v>841</v>
      </c>
      <c r="F216">
        <v>0.33</v>
      </c>
      <c r="G216">
        <v>1100</v>
      </c>
    </row>
    <row r="217" spans="1:7" x14ac:dyDescent="0.35">
      <c r="A217" s="1">
        <v>45327</v>
      </c>
      <c r="B217" t="s">
        <v>9</v>
      </c>
      <c r="C217">
        <v>100</v>
      </c>
      <c r="D217">
        <v>39</v>
      </c>
      <c r="E217">
        <v>1641</v>
      </c>
      <c r="F217">
        <v>0.39</v>
      </c>
      <c r="G217">
        <v>1950</v>
      </c>
    </row>
    <row r="218" spans="1:7" x14ac:dyDescent="0.35">
      <c r="A218" s="1">
        <v>45328</v>
      </c>
      <c r="B218" t="s">
        <v>9</v>
      </c>
      <c r="C218">
        <v>41</v>
      </c>
      <c r="D218">
        <v>29</v>
      </c>
      <c r="E218">
        <v>1672</v>
      </c>
      <c r="F218">
        <v>0.71</v>
      </c>
      <c r="G218">
        <v>1450</v>
      </c>
    </row>
    <row r="219" spans="1:7" x14ac:dyDescent="0.35">
      <c r="A219" s="1">
        <v>45329</v>
      </c>
      <c r="B219" t="s">
        <v>9</v>
      </c>
      <c r="C219">
        <v>91</v>
      </c>
      <c r="D219">
        <v>13</v>
      </c>
      <c r="E219">
        <v>1626</v>
      </c>
      <c r="F219">
        <v>0.14000000000000001</v>
      </c>
      <c r="G219">
        <v>650</v>
      </c>
    </row>
    <row r="220" spans="1:7" x14ac:dyDescent="0.35">
      <c r="A220" s="1">
        <v>45330</v>
      </c>
      <c r="B220" t="s">
        <v>9</v>
      </c>
      <c r="C220">
        <v>74</v>
      </c>
      <c r="D220">
        <v>22</v>
      </c>
      <c r="E220">
        <v>1135</v>
      </c>
      <c r="F220">
        <v>0.3</v>
      </c>
      <c r="G220">
        <v>1100</v>
      </c>
    </row>
    <row r="221" spans="1:7" x14ac:dyDescent="0.35">
      <c r="A221" s="1">
        <v>45331</v>
      </c>
      <c r="B221" t="s">
        <v>9</v>
      </c>
      <c r="C221">
        <v>48</v>
      </c>
      <c r="D221">
        <v>21</v>
      </c>
      <c r="E221">
        <v>1312</v>
      </c>
      <c r="F221">
        <v>0.44</v>
      </c>
      <c r="G221">
        <v>1050</v>
      </c>
    </row>
    <row r="222" spans="1:7" x14ac:dyDescent="0.35">
      <c r="A222" s="1">
        <v>45332</v>
      </c>
      <c r="B222" t="s">
        <v>9</v>
      </c>
      <c r="C222">
        <v>43</v>
      </c>
      <c r="D222">
        <v>24</v>
      </c>
      <c r="E222">
        <v>1129</v>
      </c>
      <c r="F222">
        <v>0.56000000000000005</v>
      </c>
      <c r="G222">
        <v>1200</v>
      </c>
    </row>
    <row r="223" spans="1:7" x14ac:dyDescent="0.35">
      <c r="A223" s="1">
        <v>45333</v>
      </c>
      <c r="B223" t="s">
        <v>9</v>
      </c>
      <c r="C223">
        <v>74</v>
      </c>
      <c r="D223">
        <v>37</v>
      </c>
      <c r="E223">
        <v>1471</v>
      </c>
      <c r="F223">
        <v>0.5</v>
      </c>
      <c r="G223">
        <v>1850</v>
      </c>
    </row>
    <row r="224" spans="1:7" x14ac:dyDescent="0.35">
      <c r="A224" s="1">
        <v>45334</v>
      </c>
      <c r="B224" t="s">
        <v>9</v>
      </c>
      <c r="C224">
        <v>41</v>
      </c>
      <c r="D224">
        <v>14</v>
      </c>
      <c r="E224">
        <v>570</v>
      </c>
      <c r="F224">
        <v>0.34</v>
      </c>
      <c r="G224">
        <v>700</v>
      </c>
    </row>
    <row r="225" spans="1:7" x14ac:dyDescent="0.35">
      <c r="A225" s="1">
        <v>45335</v>
      </c>
      <c r="B225" t="s">
        <v>9</v>
      </c>
      <c r="C225">
        <v>42</v>
      </c>
      <c r="D225">
        <v>40</v>
      </c>
      <c r="E225">
        <v>109</v>
      </c>
      <c r="F225">
        <v>0.95</v>
      </c>
      <c r="G225">
        <v>2000</v>
      </c>
    </row>
    <row r="226" spans="1:7" x14ac:dyDescent="0.35">
      <c r="A226" s="1">
        <v>45336</v>
      </c>
      <c r="B226" t="s">
        <v>9</v>
      </c>
      <c r="C226">
        <v>110</v>
      </c>
      <c r="D226">
        <v>24</v>
      </c>
      <c r="E226">
        <v>354</v>
      </c>
      <c r="F226">
        <v>0.22</v>
      </c>
      <c r="G226">
        <v>1200</v>
      </c>
    </row>
    <row r="227" spans="1:7" x14ac:dyDescent="0.35">
      <c r="A227" s="1">
        <v>45337</v>
      </c>
      <c r="B227" t="s">
        <v>9</v>
      </c>
      <c r="C227">
        <v>26</v>
      </c>
      <c r="D227">
        <v>42</v>
      </c>
      <c r="E227">
        <v>1636</v>
      </c>
      <c r="F227">
        <v>1.62</v>
      </c>
      <c r="G227">
        <v>2100</v>
      </c>
    </row>
    <row r="228" spans="1:7" x14ac:dyDescent="0.35">
      <c r="A228" s="1">
        <v>45338</v>
      </c>
      <c r="B228" t="s">
        <v>9</v>
      </c>
      <c r="C228">
        <v>39</v>
      </c>
      <c r="D228">
        <v>47</v>
      </c>
      <c r="E228">
        <v>636</v>
      </c>
      <c r="F228">
        <v>1.21</v>
      </c>
      <c r="G228">
        <v>2350</v>
      </c>
    </row>
    <row r="229" spans="1:7" x14ac:dyDescent="0.35">
      <c r="A229" s="1">
        <v>45339</v>
      </c>
      <c r="B229" t="s">
        <v>9</v>
      </c>
      <c r="C229">
        <v>50</v>
      </c>
      <c r="D229">
        <v>13</v>
      </c>
      <c r="E229">
        <v>1434</v>
      </c>
      <c r="F229">
        <v>0.26</v>
      </c>
      <c r="G229">
        <v>650</v>
      </c>
    </row>
    <row r="230" spans="1:7" x14ac:dyDescent="0.35">
      <c r="A230" s="1">
        <v>45340</v>
      </c>
      <c r="B230" t="s">
        <v>9</v>
      </c>
      <c r="C230">
        <v>116</v>
      </c>
      <c r="D230">
        <v>21</v>
      </c>
      <c r="E230">
        <v>1265</v>
      </c>
      <c r="F230">
        <v>0.18</v>
      </c>
      <c r="G230">
        <v>1050</v>
      </c>
    </row>
    <row r="231" spans="1:7" x14ac:dyDescent="0.35">
      <c r="A231" s="1">
        <v>45341</v>
      </c>
      <c r="B231" t="s">
        <v>9</v>
      </c>
      <c r="C231">
        <v>39</v>
      </c>
      <c r="D231">
        <v>9</v>
      </c>
      <c r="E231">
        <v>342</v>
      </c>
      <c r="F231">
        <v>0.23</v>
      </c>
      <c r="G231">
        <v>450</v>
      </c>
    </row>
    <row r="232" spans="1:7" x14ac:dyDescent="0.35">
      <c r="A232" s="1">
        <v>45342</v>
      </c>
      <c r="B232" t="s">
        <v>9</v>
      </c>
      <c r="C232">
        <v>48</v>
      </c>
      <c r="D232">
        <v>15</v>
      </c>
      <c r="E232">
        <v>1091</v>
      </c>
      <c r="F232">
        <v>0.31</v>
      </c>
      <c r="G232">
        <v>750</v>
      </c>
    </row>
    <row r="233" spans="1:7" x14ac:dyDescent="0.35">
      <c r="A233" s="1">
        <v>45343</v>
      </c>
      <c r="B233" t="s">
        <v>9</v>
      </c>
      <c r="C233">
        <v>34</v>
      </c>
      <c r="D233">
        <v>25</v>
      </c>
      <c r="E233">
        <v>1013</v>
      </c>
      <c r="F233">
        <v>0.74</v>
      </c>
      <c r="G233">
        <v>1250</v>
      </c>
    </row>
    <row r="234" spans="1:7" x14ac:dyDescent="0.35">
      <c r="A234" s="1">
        <v>45344</v>
      </c>
      <c r="B234" t="s">
        <v>9</v>
      </c>
      <c r="C234">
        <v>118</v>
      </c>
      <c r="D234">
        <v>34</v>
      </c>
      <c r="E234">
        <v>506</v>
      </c>
      <c r="F234">
        <v>0.28999999999999998</v>
      </c>
      <c r="G234">
        <v>1700</v>
      </c>
    </row>
    <row r="235" spans="1:7" x14ac:dyDescent="0.35">
      <c r="A235" s="1">
        <v>45345</v>
      </c>
      <c r="B235" t="s">
        <v>9</v>
      </c>
      <c r="C235">
        <v>67</v>
      </c>
      <c r="D235">
        <v>6</v>
      </c>
      <c r="E235">
        <v>770</v>
      </c>
      <c r="F235">
        <v>0.09</v>
      </c>
      <c r="G235">
        <v>300</v>
      </c>
    </row>
    <row r="236" spans="1:7" x14ac:dyDescent="0.35">
      <c r="A236" s="1">
        <v>45346</v>
      </c>
      <c r="B236" t="s">
        <v>9</v>
      </c>
      <c r="C236">
        <v>43</v>
      </c>
      <c r="D236">
        <v>31</v>
      </c>
      <c r="E236">
        <v>1927</v>
      </c>
      <c r="F236">
        <v>0.72</v>
      </c>
      <c r="G236">
        <v>1550</v>
      </c>
    </row>
    <row r="237" spans="1:7" x14ac:dyDescent="0.35">
      <c r="A237" s="1">
        <v>45347</v>
      </c>
      <c r="B237" t="s">
        <v>9</v>
      </c>
      <c r="C237">
        <v>72</v>
      </c>
      <c r="D237">
        <v>37</v>
      </c>
      <c r="E237">
        <v>1448</v>
      </c>
      <c r="F237">
        <v>0.51</v>
      </c>
      <c r="G237">
        <v>1850</v>
      </c>
    </row>
    <row r="238" spans="1:7" x14ac:dyDescent="0.35">
      <c r="A238" s="1">
        <v>45348</v>
      </c>
      <c r="B238" t="s">
        <v>9</v>
      </c>
      <c r="C238">
        <v>34</v>
      </c>
      <c r="D238">
        <v>19</v>
      </c>
      <c r="E238">
        <v>1405</v>
      </c>
      <c r="F238">
        <v>0.56000000000000005</v>
      </c>
      <c r="G238">
        <v>950</v>
      </c>
    </row>
    <row r="239" spans="1:7" x14ac:dyDescent="0.35">
      <c r="A239" s="1">
        <v>45349</v>
      </c>
      <c r="B239" t="s">
        <v>9</v>
      </c>
      <c r="C239">
        <v>38</v>
      </c>
      <c r="D239">
        <v>36</v>
      </c>
      <c r="E239">
        <v>1869</v>
      </c>
      <c r="F239">
        <v>0.95</v>
      </c>
      <c r="G239">
        <v>1800</v>
      </c>
    </row>
    <row r="240" spans="1:7" x14ac:dyDescent="0.35">
      <c r="A240" s="1">
        <v>45350</v>
      </c>
      <c r="B240" t="s">
        <v>9</v>
      </c>
      <c r="C240">
        <v>78</v>
      </c>
      <c r="D240">
        <v>46</v>
      </c>
      <c r="E240">
        <v>754</v>
      </c>
      <c r="F240">
        <v>0.59</v>
      </c>
      <c r="G240">
        <v>2300</v>
      </c>
    </row>
    <row r="241" spans="1:7" x14ac:dyDescent="0.35">
      <c r="A241" s="1">
        <v>45351</v>
      </c>
      <c r="B241" t="s">
        <v>9</v>
      </c>
      <c r="C241">
        <v>51</v>
      </c>
      <c r="D241">
        <v>28</v>
      </c>
      <c r="E241">
        <v>1214</v>
      </c>
      <c r="F241">
        <v>0.55000000000000004</v>
      </c>
      <c r="G241">
        <v>1400</v>
      </c>
    </row>
    <row r="242" spans="1:7" x14ac:dyDescent="0.35">
      <c r="A242" s="1">
        <v>45352</v>
      </c>
      <c r="B242" t="s">
        <v>9</v>
      </c>
      <c r="C242">
        <v>99</v>
      </c>
      <c r="D242">
        <v>21</v>
      </c>
      <c r="E242">
        <v>1143</v>
      </c>
      <c r="F242">
        <v>0.21</v>
      </c>
      <c r="G242">
        <v>1050</v>
      </c>
    </row>
    <row r="243" spans="1:7" x14ac:dyDescent="0.35">
      <c r="A243" s="1">
        <v>45353</v>
      </c>
      <c r="B243" t="s">
        <v>9</v>
      </c>
      <c r="C243">
        <v>102</v>
      </c>
      <c r="D243">
        <v>8</v>
      </c>
      <c r="E243">
        <v>1236</v>
      </c>
      <c r="F243">
        <v>0.08</v>
      </c>
      <c r="G243">
        <v>400</v>
      </c>
    </row>
    <row r="244" spans="1:7" x14ac:dyDescent="0.35">
      <c r="A244" s="1">
        <v>45354</v>
      </c>
      <c r="B244" t="s">
        <v>9</v>
      </c>
      <c r="C244">
        <v>46</v>
      </c>
      <c r="D244">
        <v>43</v>
      </c>
      <c r="E244">
        <v>1509</v>
      </c>
      <c r="F244">
        <v>0.93</v>
      </c>
      <c r="G244">
        <v>2150</v>
      </c>
    </row>
    <row r="245" spans="1:7" x14ac:dyDescent="0.35">
      <c r="A245" s="1">
        <v>45355</v>
      </c>
      <c r="B245" t="s">
        <v>9</v>
      </c>
      <c r="C245">
        <v>147</v>
      </c>
      <c r="D245">
        <v>46</v>
      </c>
      <c r="E245">
        <v>1243</v>
      </c>
      <c r="F245">
        <v>0.31</v>
      </c>
      <c r="G245">
        <v>2300</v>
      </c>
    </row>
    <row r="246" spans="1:7" x14ac:dyDescent="0.35">
      <c r="A246" s="1">
        <v>45356</v>
      </c>
      <c r="B246" t="s">
        <v>9</v>
      </c>
      <c r="C246">
        <v>106</v>
      </c>
      <c r="D246">
        <v>42</v>
      </c>
      <c r="E246">
        <v>1444</v>
      </c>
      <c r="F246">
        <v>0.4</v>
      </c>
      <c r="G246">
        <v>2100</v>
      </c>
    </row>
    <row r="247" spans="1:7" x14ac:dyDescent="0.35">
      <c r="A247" s="1">
        <v>45357</v>
      </c>
      <c r="B247" t="s">
        <v>9</v>
      </c>
      <c r="C247">
        <v>55</v>
      </c>
      <c r="D247">
        <v>30</v>
      </c>
      <c r="E247">
        <v>1462</v>
      </c>
      <c r="F247">
        <v>0.55000000000000004</v>
      </c>
      <c r="G247">
        <v>1500</v>
      </c>
    </row>
    <row r="248" spans="1:7" x14ac:dyDescent="0.35">
      <c r="A248" s="1">
        <v>45358</v>
      </c>
      <c r="B248" t="s">
        <v>9</v>
      </c>
      <c r="C248">
        <v>38</v>
      </c>
      <c r="D248">
        <v>19</v>
      </c>
      <c r="E248">
        <v>558</v>
      </c>
      <c r="F248">
        <v>0.5</v>
      </c>
      <c r="G248">
        <v>950</v>
      </c>
    </row>
    <row r="249" spans="1:7" x14ac:dyDescent="0.35">
      <c r="A249" s="1">
        <v>45359</v>
      </c>
      <c r="B249" t="s">
        <v>9</v>
      </c>
      <c r="C249">
        <v>122</v>
      </c>
      <c r="D249">
        <v>39</v>
      </c>
      <c r="E249">
        <v>227</v>
      </c>
      <c r="F249">
        <v>0.32</v>
      </c>
      <c r="G249">
        <v>1950</v>
      </c>
    </row>
    <row r="250" spans="1:7" x14ac:dyDescent="0.35">
      <c r="A250" s="1">
        <v>45360</v>
      </c>
      <c r="B250" t="s">
        <v>9</v>
      </c>
      <c r="C250">
        <v>139</v>
      </c>
      <c r="D250">
        <v>17</v>
      </c>
      <c r="E250">
        <v>823</v>
      </c>
      <c r="F250">
        <v>0.12</v>
      </c>
      <c r="G250">
        <v>850</v>
      </c>
    </row>
    <row r="251" spans="1:7" x14ac:dyDescent="0.35">
      <c r="A251" s="1">
        <v>45361</v>
      </c>
      <c r="B251" t="s">
        <v>9</v>
      </c>
      <c r="C251">
        <v>46</v>
      </c>
      <c r="D251">
        <v>42</v>
      </c>
      <c r="E251">
        <v>1603</v>
      </c>
      <c r="F251">
        <v>0.91</v>
      </c>
      <c r="G251">
        <v>2100</v>
      </c>
    </row>
    <row r="252" spans="1:7" x14ac:dyDescent="0.35">
      <c r="A252" s="1">
        <v>45362</v>
      </c>
      <c r="B252" t="s">
        <v>9</v>
      </c>
      <c r="C252">
        <v>70</v>
      </c>
      <c r="D252">
        <v>48</v>
      </c>
      <c r="E252">
        <v>509</v>
      </c>
      <c r="F252">
        <v>0.69</v>
      </c>
      <c r="G252">
        <v>2400</v>
      </c>
    </row>
    <row r="253" spans="1:7" x14ac:dyDescent="0.35">
      <c r="A253" s="1">
        <v>45363</v>
      </c>
      <c r="B253" t="s">
        <v>9</v>
      </c>
      <c r="C253">
        <v>101</v>
      </c>
      <c r="D253">
        <v>17</v>
      </c>
      <c r="E253">
        <v>808</v>
      </c>
      <c r="F253">
        <v>0.17</v>
      </c>
      <c r="G253">
        <v>850</v>
      </c>
    </row>
    <row r="254" spans="1:7" x14ac:dyDescent="0.35">
      <c r="A254" s="1">
        <v>45364</v>
      </c>
      <c r="B254" t="s">
        <v>9</v>
      </c>
      <c r="C254">
        <v>146</v>
      </c>
      <c r="D254">
        <v>18</v>
      </c>
      <c r="E254">
        <v>637</v>
      </c>
      <c r="F254">
        <v>0.12</v>
      </c>
      <c r="G254">
        <v>900</v>
      </c>
    </row>
    <row r="255" spans="1:7" x14ac:dyDescent="0.35">
      <c r="A255" s="1">
        <v>45365</v>
      </c>
      <c r="B255" t="s">
        <v>9</v>
      </c>
      <c r="C255">
        <v>27</v>
      </c>
      <c r="D255">
        <v>37</v>
      </c>
      <c r="E255">
        <v>101</v>
      </c>
      <c r="F255">
        <v>1.37</v>
      </c>
      <c r="G255">
        <v>1850</v>
      </c>
    </row>
    <row r="256" spans="1:7" x14ac:dyDescent="0.35">
      <c r="A256" s="1">
        <v>45366</v>
      </c>
      <c r="B256" t="s">
        <v>9</v>
      </c>
      <c r="C256">
        <v>132</v>
      </c>
      <c r="D256">
        <v>17</v>
      </c>
      <c r="E256">
        <v>142</v>
      </c>
      <c r="F256">
        <v>0.13</v>
      </c>
      <c r="G256">
        <v>850</v>
      </c>
    </row>
    <row r="257" spans="1:7" x14ac:dyDescent="0.35">
      <c r="A257" s="1">
        <v>45367</v>
      </c>
      <c r="B257" t="s">
        <v>9</v>
      </c>
      <c r="C257">
        <v>83</v>
      </c>
      <c r="D257">
        <v>46</v>
      </c>
      <c r="E257">
        <v>1398</v>
      </c>
      <c r="F257">
        <v>0.55000000000000004</v>
      </c>
      <c r="G257">
        <v>2300</v>
      </c>
    </row>
    <row r="258" spans="1:7" x14ac:dyDescent="0.35">
      <c r="A258" s="1">
        <v>45368</v>
      </c>
      <c r="B258" t="s">
        <v>9</v>
      </c>
      <c r="C258">
        <v>115</v>
      </c>
      <c r="D258">
        <v>33</v>
      </c>
      <c r="E258">
        <v>1460</v>
      </c>
      <c r="F258">
        <v>0.28999999999999998</v>
      </c>
      <c r="G258">
        <v>1650</v>
      </c>
    </row>
    <row r="259" spans="1:7" x14ac:dyDescent="0.35">
      <c r="A259" s="1">
        <v>45369</v>
      </c>
      <c r="B259" t="s">
        <v>9</v>
      </c>
      <c r="C259">
        <v>111</v>
      </c>
      <c r="D259">
        <v>32</v>
      </c>
      <c r="E259">
        <v>1953</v>
      </c>
      <c r="F259">
        <v>0.28999999999999998</v>
      </c>
      <c r="G259">
        <v>1600</v>
      </c>
    </row>
    <row r="260" spans="1:7" x14ac:dyDescent="0.35">
      <c r="A260" s="1">
        <v>45370</v>
      </c>
      <c r="B260" t="s">
        <v>9</v>
      </c>
      <c r="C260">
        <v>121</v>
      </c>
      <c r="D260">
        <v>46</v>
      </c>
      <c r="E260">
        <v>301</v>
      </c>
      <c r="F260">
        <v>0.38</v>
      </c>
      <c r="G260">
        <v>2300</v>
      </c>
    </row>
    <row r="261" spans="1:7" x14ac:dyDescent="0.35">
      <c r="A261" s="1">
        <v>45371</v>
      </c>
      <c r="B261" t="s">
        <v>9</v>
      </c>
      <c r="C261">
        <v>54</v>
      </c>
      <c r="D261">
        <v>36</v>
      </c>
      <c r="E261">
        <v>758</v>
      </c>
      <c r="F261">
        <v>0.67</v>
      </c>
      <c r="G261">
        <v>1800</v>
      </c>
    </row>
    <row r="262" spans="1:7" x14ac:dyDescent="0.35">
      <c r="A262" s="1">
        <v>45372</v>
      </c>
      <c r="B262" t="s">
        <v>9</v>
      </c>
      <c r="C262">
        <v>41</v>
      </c>
      <c r="D262">
        <v>45</v>
      </c>
      <c r="E262">
        <v>1722</v>
      </c>
      <c r="F262">
        <v>1.1000000000000001</v>
      </c>
      <c r="G262">
        <v>2250</v>
      </c>
    </row>
    <row r="263" spans="1:7" x14ac:dyDescent="0.35">
      <c r="A263" s="1">
        <v>45373</v>
      </c>
      <c r="B263" t="s">
        <v>9</v>
      </c>
      <c r="C263">
        <v>90</v>
      </c>
      <c r="D263">
        <v>11</v>
      </c>
      <c r="E263">
        <v>443</v>
      </c>
      <c r="F263">
        <v>0.12</v>
      </c>
      <c r="G263">
        <v>550</v>
      </c>
    </row>
    <row r="264" spans="1:7" x14ac:dyDescent="0.35">
      <c r="A264" s="1">
        <v>45374</v>
      </c>
      <c r="B264" t="s">
        <v>9</v>
      </c>
      <c r="C264">
        <v>148</v>
      </c>
      <c r="D264">
        <v>5</v>
      </c>
      <c r="E264">
        <v>1933</v>
      </c>
      <c r="F264">
        <v>0.03</v>
      </c>
      <c r="G264">
        <v>250</v>
      </c>
    </row>
    <row r="265" spans="1:7" x14ac:dyDescent="0.35">
      <c r="A265" s="1">
        <v>45375</v>
      </c>
      <c r="B265" t="s">
        <v>9</v>
      </c>
      <c r="C265">
        <v>127</v>
      </c>
      <c r="D265">
        <v>46</v>
      </c>
      <c r="E265">
        <v>1564</v>
      </c>
      <c r="F265">
        <v>0.36</v>
      </c>
      <c r="G265">
        <v>2300</v>
      </c>
    </row>
    <row r="266" spans="1:7" x14ac:dyDescent="0.35">
      <c r="A266" s="1">
        <v>45376</v>
      </c>
      <c r="B266" t="s">
        <v>9</v>
      </c>
      <c r="C266">
        <v>35</v>
      </c>
      <c r="D266">
        <v>40</v>
      </c>
      <c r="E266">
        <v>511</v>
      </c>
      <c r="F266">
        <v>1.1399999999999999</v>
      </c>
      <c r="G266">
        <v>2000</v>
      </c>
    </row>
    <row r="267" spans="1:7" x14ac:dyDescent="0.35">
      <c r="A267" s="1">
        <v>45377</v>
      </c>
      <c r="B267" t="s">
        <v>9</v>
      </c>
      <c r="C267">
        <v>77</v>
      </c>
      <c r="D267">
        <v>11</v>
      </c>
      <c r="E267">
        <v>153</v>
      </c>
      <c r="F267">
        <v>0.14000000000000001</v>
      </c>
      <c r="G267">
        <v>550</v>
      </c>
    </row>
    <row r="268" spans="1:7" x14ac:dyDescent="0.35">
      <c r="A268" s="1">
        <v>45378</v>
      </c>
      <c r="B268" t="s">
        <v>9</v>
      </c>
      <c r="C268">
        <v>145</v>
      </c>
      <c r="D268">
        <v>46</v>
      </c>
      <c r="E268">
        <v>314</v>
      </c>
      <c r="F268">
        <v>0.32</v>
      </c>
      <c r="G268">
        <v>2300</v>
      </c>
    </row>
    <row r="269" spans="1:7" x14ac:dyDescent="0.35">
      <c r="A269" s="1">
        <v>45379</v>
      </c>
      <c r="B269" t="s">
        <v>9</v>
      </c>
      <c r="C269">
        <v>26</v>
      </c>
      <c r="D269">
        <v>43</v>
      </c>
      <c r="E269">
        <v>1715</v>
      </c>
      <c r="F269">
        <v>1.65</v>
      </c>
      <c r="G269">
        <v>2150</v>
      </c>
    </row>
    <row r="270" spans="1:7" x14ac:dyDescent="0.35">
      <c r="A270" s="1">
        <v>45380</v>
      </c>
      <c r="B270" t="s">
        <v>9</v>
      </c>
      <c r="C270">
        <v>103</v>
      </c>
      <c r="D270">
        <v>47</v>
      </c>
      <c r="E270">
        <v>360</v>
      </c>
      <c r="F270">
        <v>0.46</v>
      </c>
      <c r="G270">
        <v>2350</v>
      </c>
    </row>
    <row r="271" spans="1:7" x14ac:dyDescent="0.35">
      <c r="A271" s="1">
        <v>45381</v>
      </c>
      <c r="B271" t="s">
        <v>9</v>
      </c>
      <c r="C271">
        <v>53</v>
      </c>
      <c r="D271">
        <v>34</v>
      </c>
      <c r="E271">
        <v>392</v>
      </c>
      <c r="F271">
        <v>0.64</v>
      </c>
      <c r="G271">
        <v>1700</v>
      </c>
    </row>
    <row r="272" spans="1:7" x14ac:dyDescent="0.35">
      <c r="A272" s="1">
        <v>45292</v>
      </c>
      <c r="B272" t="s">
        <v>10</v>
      </c>
      <c r="C272">
        <v>36</v>
      </c>
      <c r="D272">
        <v>49</v>
      </c>
      <c r="E272">
        <v>1252</v>
      </c>
      <c r="F272">
        <v>1.36</v>
      </c>
      <c r="G272">
        <v>2450</v>
      </c>
    </row>
    <row r="273" spans="1:7" x14ac:dyDescent="0.35">
      <c r="A273" s="1">
        <v>45293</v>
      </c>
      <c r="B273" t="s">
        <v>10</v>
      </c>
      <c r="C273">
        <v>110</v>
      </c>
      <c r="D273">
        <v>40</v>
      </c>
      <c r="E273">
        <v>1417</v>
      </c>
      <c r="F273">
        <v>0.36</v>
      </c>
      <c r="G273">
        <v>2000</v>
      </c>
    </row>
    <row r="274" spans="1:7" x14ac:dyDescent="0.35">
      <c r="A274" s="1">
        <v>45294</v>
      </c>
      <c r="B274" t="s">
        <v>10</v>
      </c>
      <c r="C274">
        <v>136</v>
      </c>
      <c r="D274">
        <v>34</v>
      </c>
      <c r="E274">
        <v>1091</v>
      </c>
      <c r="F274">
        <v>0.25</v>
      </c>
      <c r="G274">
        <v>1700</v>
      </c>
    </row>
    <row r="275" spans="1:7" x14ac:dyDescent="0.35">
      <c r="A275" s="1">
        <v>45295</v>
      </c>
      <c r="B275" t="s">
        <v>10</v>
      </c>
      <c r="C275">
        <v>124</v>
      </c>
      <c r="D275">
        <v>26</v>
      </c>
      <c r="E275">
        <v>1075</v>
      </c>
      <c r="F275">
        <v>0.21</v>
      </c>
      <c r="G275">
        <v>1300</v>
      </c>
    </row>
    <row r="276" spans="1:7" x14ac:dyDescent="0.35">
      <c r="A276" s="1">
        <v>45296</v>
      </c>
      <c r="B276" t="s">
        <v>10</v>
      </c>
      <c r="C276">
        <v>122</v>
      </c>
      <c r="D276">
        <v>48</v>
      </c>
      <c r="E276">
        <v>837</v>
      </c>
      <c r="F276">
        <v>0.39</v>
      </c>
      <c r="G276">
        <v>2400</v>
      </c>
    </row>
    <row r="277" spans="1:7" x14ac:dyDescent="0.35">
      <c r="A277" s="1">
        <v>45297</v>
      </c>
      <c r="B277" t="s">
        <v>10</v>
      </c>
      <c r="C277">
        <v>95</v>
      </c>
      <c r="D277">
        <v>47</v>
      </c>
      <c r="E277">
        <v>1939</v>
      </c>
      <c r="F277">
        <v>0.49</v>
      </c>
      <c r="G277">
        <v>2350</v>
      </c>
    </row>
    <row r="278" spans="1:7" x14ac:dyDescent="0.35">
      <c r="A278" s="1">
        <v>45298</v>
      </c>
      <c r="B278" t="s">
        <v>10</v>
      </c>
      <c r="C278">
        <v>82</v>
      </c>
      <c r="D278">
        <v>27</v>
      </c>
      <c r="E278">
        <v>1928</v>
      </c>
      <c r="F278">
        <v>0.33</v>
      </c>
      <c r="G278">
        <v>1350</v>
      </c>
    </row>
    <row r="279" spans="1:7" x14ac:dyDescent="0.35">
      <c r="A279" s="1">
        <v>45299</v>
      </c>
      <c r="B279" t="s">
        <v>10</v>
      </c>
      <c r="C279">
        <v>122</v>
      </c>
      <c r="D279">
        <v>11</v>
      </c>
      <c r="E279">
        <v>596</v>
      </c>
      <c r="F279">
        <v>0.09</v>
      </c>
      <c r="G279">
        <v>550</v>
      </c>
    </row>
    <row r="280" spans="1:7" x14ac:dyDescent="0.35">
      <c r="A280" s="1">
        <v>45300</v>
      </c>
      <c r="B280" t="s">
        <v>10</v>
      </c>
      <c r="C280">
        <v>69</v>
      </c>
      <c r="D280">
        <v>36</v>
      </c>
      <c r="E280">
        <v>1740</v>
      </c>
      <c r="F280">
        <v>0.52</v>
      </c>
      <c r="G280">
        <v>1800</v>
      </c>
    </row>
    <row r="281" spans="1:7" x14ac:dyDescent="0.35">
      <c r="A281" s="1">
        <v>45301</v>
      </c>
      <c r="B281" t="s">
        <v>10</v>
      </c>
      <c r="C281">
        <v>38</v>
      </c>
      <c r="D281">
        <v>11</v>
      </c>
      <c r="E281">
        <v>442</v>
      </c>
      <c r="F281">
        <v>0.28999999999999998</v>
      </c>
      <c r="G281">
        <v>550</v>
      </c>
    </row>
    <row r="282" spans="1:7" x14ac:dyDescent="0.35">
      <c r="A282" s="1">
        <v>45302</v>
      </c>
      <c r="B282" t="s">
        <v>10</v>
      </c>
      <c r="C282">
        <v>22</v>
      </c>
      <c r="D282">
        <v>27</v>
      </c>
      <c r="E282">
        <v>825</v>
      </c>
      <c r="F282">
        <v>1.23</v>
      </c>
      <c r="G282">
        <v>1350</v>
      </c>
    </row>
    <row r="283" spans="1:7" x14ac:dyDescent="0.35">
      <c r="A283" s="1">
        <v>45303</v>
      </c>
      <c r="B283" t="s">
        <v>10</v>
      </c>
      <c r="C283">
        <v>141</v>
      </c>
      <c r="D283">
        <v>5</v>
      </c>
      <c r="E283">
        <v>101</v>
      </c>
      <c r="F283">
        <v>0.04</v>
      </c>
      <c r="G283">
        <v>250</v>
      </c>
    </row>
    <row r="284" spans="1:7" x14ac:dyDescent="0.35">
      <c r="A284" s="1">
        <v>45304</v>
      </c>
      <c r="B284" t="s">
        <v>10</v>
      </c>
      <c r="C284">
        <v>21</v>
      </c>
      <c r="D284">
        <v>25</v>
      </c>
      <c r="E284">
        <v>1640</v>
      </c>
      <c r="F284">
        <v>1.19</v>
      </c>
      <c r="G284">
        <v>1250</v>
      </c>
    </row>
    <row r="285" spans="1:7" x14ac:dyDescent="0.35">
      <c r="A285" s="1">
        <v>45305</v>
      </c>
      <c r="B285" t="s">
        <v>10</v>
      </c>
      <c r="C285">
        <v>20</v>
      </c>
      <c r="D285">
        <v>15</v>
      </c>
      <c r="E285">
        <v>516</v>
      </c>
      <c r="F285">
        <v>0.75</v>
      </c>
      <c r="G285">
        <v>750</v>
      </c>
    </row>
    <row r="286" spans="1:7" x14ac:dyDescent="0.35">
      <c r="A286" s="1">
        <v>45306</v>
      </c>
      <c r="B286" t="s">
        <v>10</v>
      </c>
      <c r="C286">
        <v>54</v>
      </c>
      <c r="D286">
        <v>25</v>
      </c>
      <c r="E286">
        <v>596</v>
      </c>
      <c r="F286">
        <v>0.46</v>
      </c>
      <c r="G286">
        <v>1250</v>
      </c>
    </row>
    <row r="287" spans="1:7" x14ac:dyDescent="0.35">
      <c r="A287" s="1">
        <v>45307</v>
      </c>
      <c r="B287" t="s">
        <v>10</v>
      </c>
      <c r="C287">
        <v>31</v>
      </c>
      <c r="D287">
        <v>39</v>
      </c>
      <c r="E287">
        <v>249</v>
      </c>
      <c r="F287">
        <v>1.26</v>
      </c>
      <c r="G287">
        <v>1950</v>
      </c>
    </row>
    <row r="288" spans="1:7" x14ac:dyDescent="0.35">
      <c r="A288" s="1">
        <v>45308</v>
      </c>
      <c r="B288" t="s">
        <v>10</v>
      </c>
      <c r="C288">
        <v>128</v>
      </c>
      <c r="D288">
        <v>39</v>
      </c>
      <c r="E288">
        <v>1389</v>
      </c>
      <c r="F288">
        <v>0.3</v>
      </c>
      <c r="G288">
        <v>1950</v>
      </c>
    </row>
    <row r="289" spans="1:7" x14ac:dyDescent="0.35">
      <c r="A289" s="1">
        <v>45309</v>
      </c>
      <c r="B289" t="s">
        <v>10</v>
      </c>
      <c r="C289">
        <v>101</v>
      </c>
      <c r="D289">
        <v>10</v>
      </c>
      <c r="E289">
        <v>1711</v>
      </c>
      <c r="F289">
        <v>0.1</v>
      </c>
      <c r="G289">
        <v>500</v>
      </c>
    </row>
    <row r="290" spans="1:7" x14ac:dyDescent="0.35">
      <c r="A290" s="1">
        <v>45310</v>
      </c>
      <c r="B290" t="s">
        <v>10</v>
      </c>
      <c r="C290">
        <v>93</v>
      </c>
      <c r="D290">
        <v>42</v>
      </c>
      <c r="E290">
        <v>245</v>
      </c>
      <c r="F290">
        <v>0.45</v>
      </c>
      <c r="G290">
        <v>2100</v>
      </c>
    </row>
    <row r="291" spans="1:7" x14ac:dyDescent="0.35">
      <c r="A291" s="1">
        <v>45311</v>
      </c>
      <c r="B291" t="s">
        <v>10</v>
      </c>
      <c r="C291">
        <v>39</v>
      </c>
      <c r="D291">
        <v>32</v>
      </c>
      <c r="E291">
        <v>759</v>
      </c>
      <c r="F291">
        <v>0.82</v>
      </c>
      <c r="G291">
        <v>1600</v>
      </c>
    </row>
    <row r="292" spans="1:7" x14ac:dyDescent="0.35">
      <c r="A292" s="1">
        <v>45312</v>
      </c>
      <c r="B292" t="s">
        <v>10</v>
      </c>
      <c r="C292">
        <v>92</v>
      </c>
      <c r="D292">
        <v>47</v>
      </c>
      <c r="E292">
        <v>1388</v>
      </c>
      <c r="F292">
        <v>0.51</v>
      </c>
      <c r="G292">
        <v>2350</v>
      </c>
    </row>
    <row r="293" spans="1:7" x14ac:dyDescent="0.35">
      <c r="A293" s="1">
        <v>45313</v>
      </c>
      <c r="B293" t="s">
        <v>10</v>
      </c>
      <c r="C293">
        <v>66</v>
      </c>
      <c r="D293">
        <v>5</v>
      </c>
      <c r="E293">
        <v>1564</v>
      </c>
      <c r="F293">
        <v>0.08</v>
      </c>
      <c r="G293">
        <v>250</v>
      </c>
    </row>
    <row r="294" spans="1:7" x14ac:dyDescent="0.35">
      <c r="A294" s="1">
        <v>45314</v>
      </c>
      <c r="B294" t="s">
        <v>10</v>
      </c>
      <c r="C294">
        <v>109</v>
      </c>
      <c r="D294">
        <v>15</v>
      </c>
      <c r="E294">
        <v>1720</v>
      </c>
      <c r="F294">
        <v>0.14000000000000001</v>
      </c>
      <c r="G294">
        <v>750</v>
      </c>
    </row>
    <row r="295" spans="1:7" x14ac:dyDescent="0.35">
      <c r="A295" s="1">
        <v>45315</v>
      </c>
      <c r="B295" t="s">
        <v>10</v>
      </c>
      <c r="C295">
        <v>130</v>
      </c>
      <c r="D295">
        <v>48</v>
      </c>
      <c r="E295">
        <v>1332</v>
      </c>
      <c r="F295">
        <v>0.37</v>
      </c>
      <c r="G295">
        <v>2400</v>
      </c>
    </row>
    <row r="296" spans="1:7" x14ac:dyDescent="0.35">
      <c r="A296" s="1">
        <v>45316</v>
      </c>
      <c r="B296" t="s">
        <v>10</v>
      </c>
      <c r="C296">
        <v>37</v>
      </c>
      <c r="D296">
        <v>41</v>
      </c>
      <c r="E296">
        <v>1669</v>
      </c>
      <c r="F296">
        <v>1.1100000000000001</v>
      </c>
      <c r="G296">
        <v>2050</v>
      </c>
    </row>
    <row r="297" spans="1:7" x14ac:dyDescent="0.35">
      <c r="A297" s="1">
        <v>45317</v>
      </c>
      <c r="B297" t="s">
        <v>10</v>
      </c>
      <c r="C297">
        <v>50</v>
      </c>
      <c r="D297">
        <v>12</v>
      </c>
      <c r="E297">
        <v>601</v>
      </c>
      <c r="F297">
        <v>0.24</v>
      </c>
      <c r="G297">
        <v>600</v>
      </c>
    </row>
    <row r="298" spans="1:7" x14ac:dyDescent="0.35">
      <c r="A298" s="1">
        <v>45318</v>
      </c>
      <c r="B298" t="s">
        <v>10</v>
      </c>
      <c r="C298">
        <v>88</v>
      </c>
      <c r="D298">
        <v>44</v>
      </c>
      <c r="E298">
        <v>1881</v>
      </c>
      <c r="F298">
        <v>0.5</v>
      </c>
      <c r="G298">
        <v>2200</v>
      </c>
    </row>
    <row r="299" spans="1:7" x14ac:dyDescent="0.35">
      <c r="A299" s="1">
        <v>45319</v>
      </c>
      <c r="B299" t="s">
        <v>10</v>
      </c>
      <c r="C299">
        <v>86</v>
      </c>
      <c r="D299">
        <v>37</v>
      </c>
      <c r="E299">
        <v>1029</v>
      </c>
      <c r="F299">
        <v>0.43</v>
      </c>
      <c r="G299">
        <v>1850</v>
      </c>
    </row>
    <row r="300" spans="1:7" x14ac:dyDescent="0.35">
      <c r="A300" s="1">
        <v>45320</v>
      </c>
      <c r="B300" t="s">
        <v>10</v>
      </c>
      <c r="C300">
        <v>136</v>
      </c>
      <c r="D300">
        <v>21</v>
      </c>
      <c r="E300">
        <v>445</v>
      </c>
      <c r="F300">
        <v>0.15</v>
      </c>
      <c r="G300">
        <v>1050</v>
      </c>
    </row>
    <row r="301" spans="1:7" x14ac:dyDescent="0.35">
      <c r="A301" s="1">
        <v>45321</v>
      </c>
      <c r="B301" t="s">
        <v>10</v>
      </c>
      <c r="C301">
        <v>133</v>
      </c>
      <c r="D301">
        <v>6</v>
      </c>
      <c r="E301">
        <v>1864</v>
      </c>
      <c r="F301">
        <v>0.05</v>
      </c>
      <c r="G301">
        <v>300</v>
      </c>
    </row>
    <row r="302" spans="1:7" x14ac:dyDescent="0.35">
      <c r="A302" s="1">
        <v>45322</v>
      </c>
      <c r="B302" t="s">
        <v>10</v>
      </c>
      <c r="C302">
        <v>30</v>
      </c>
      <c r="D302">
        <v>37</v>
      </c>
      <c r="E302">
        <v>109</v>
      </c>
      <c r="F302">
        <v>1.23</v>
      </c>
      <c r="G302">
        <v>1850</v>
      </c>
    </row>
    <row r="303" spans="1:7" x14ac:dyDescent="0.35">
      <c r="A303" s="1">
        <v>45323</v>
      </c>
      <c r="B303" t="s">
        <v>10</v>
      </c>
      <c r="C303">
        <v>59</v>
      </c>
      <c r="D303">
        <v>41</v>
      </c>
      <c r="E303">
        <v>1762</v>
      </c>
      <c r="F303">
        <v>0.69</v>
      </c>
      <c r="G303">
        <v>2050</v>
      </c>
    </row>
    <row r="304" spans="1:7" x14ac:dyDescent="0.35">
      <c r="A304" s="1">
        <v>45324</v>
      </c>
      <c r="B304" t="s">
        <v>10</v>
      </c>
      <c r="C304">
        <v>83</v>
      </c>
      <c r="D304">
        <v>35</v>
      </c>
      <c r="E304">
        <v>1990</v>
      </c>
      <c r="F304">
        <v>0.42</v>
      </c>
      <c r="G304">
        <v>1750</v>
      </c>
    </row>
    <row r="305" spans="1:7" x14ac:dyDescent="0.35">
      <c r="A305" s="1">
        <v>45325</v>
      </c>
      <c r="B305" t="s">
        <v>10</v>
      </c>
      <c r="C305">
        <v>99</v>
      </c>
      <c r="D305">
        <v>15</v>
      </c>
      <c r="E305">
        <v>1050</v>
      </c>
      <c r="F305">
        <v>0.15</v>
      </c>
      <c r="G305">
        <v>750</v>
      </c>
    </row>
    <row r="306" spans="1:7" x14ac:dyDescent="0.35">
      <c r="A306" s="1">
        <v>45326</v>
      </c>
      <c r="B306" t="s">
        <v>10</v>
      </c>
      <c r="C306">
        <v>46</v>
      </c>
      <c r="D306">
        <v>37</v>
      </c>
      <c r="E306">
        <v>1563</v>
      </c>
      <c r="F306">
        <v>0.8</v>
      </c>
      <c r="G306">
        <v>1850</v>
      </c>
    </row>
    <row r="307" spans="1:7" x14ac:dyDescent="0.35">
      <c r="A307" s="1">
        <v>45327</v>
      </c>
      <c r="B307" t="s">
        <v>10</v>
      </c>
      <c r="C307">
        <v>56</v>
      </c>
      <c r="D307">
        <v>27</v>
      </c>
      <c r="E307">
        <v>1497</v>
      </c>
      <c r="F307">
        <v>0.48</v>
      </c>
      <c r="G307">
        <v>1350</v>
      </c>
    </row>
    <row r="308" spans="1:7" x14ac:dyDescent="0.35">
      <c r="A308" s="1">
        <v>45328</v>
      </c>
      <c r="B308" t="s">
        <v>10</v>
      </c>
      <c r="C308">
        <v>77</v>
      </c>
      <c r="D308">
        <v>6</v>
      </c>
      <c r="E308">
        <v>1670</v>
      </c>
      <c r="F308">
        <v>0.08</v>
      </c>
      <c r="G308">
        <v>300</v>
      </c>
    </row>
    <row r="309" spans="1:7" x14ac:dyDescent="0.35">
      <c r="A309" s="1">
        <v>45329</v>
      </c>
      <c r="B309" t="s">
        <v>10</v>
      </c>
      <c r="C309">
        <v>36</v>
      </c>
      <c r="D309">
        <v>39</v>
      </c>
      <c r="E309">
        <v>1623</v>
      </c>
      <c r="F309">
        <v>1.08</v>
      </c>
      <c r="G309">
        <v>1950</v>
      </c>
    </row>
    <row r="310" spans="1:7" x14ac:dyDescent="0.35">
      <c r="A310" s="1">
        <v>45330</v>
      </c>
      <c r="B310" t="s">
        <v>10</v>
      </c>
      <c r="C310">
        <v>84</v>
      </c>
      <c r="D310">
        <v>31</v>
      </c>
      <c r="E310">
        <v>1205</v>
      </c>
      <c r="F310">
        <v>0.37</v>
      </c>
      <c r="G310">
        <v>1550</v>
      </c>
    </row>
    <row r="311" spans="1:7" x14ac:dyDescent="0.35">
      <c r="A311" s="1">
        <v>45331</v>
      </c>
      <c r="B311" t="s">
        <v>10</v>
      </c>
      <c r="C311">
        <v>142</v>
      </c>
      <c r="D311">
        <v>38</v>
      </c>
      <c r="E311">
        <v>373</v>
      </c>
      <c r="F311">
        <v>0.27</v>
      </c>
      <c r="G311">
        <v>1900</v>
      </c>
    </row>
    <row r="312" spans="1:7" x14ac:dyDescent="0.35">
      <c r="A312" s="1">
        <v>45332</v>
      </c>
      <c r="B312" t="s">
        <v>10</v>
      </c>
      <c r="C312">
        <v>28</v>
      </c>
      <c r="D312">
        <v>7</v>
      </c>
      <c r="E312">
        <v>1409</v>
      </c>
      <c r="F312">
        <v>0.25</v>
      </c>
      <c r="G312">
        <v>350</v>
      </c>
    </row>
    <row r="313" spans="1:7" x14ac:dyDescent="0.35">
      <c r="A313" s="1">
        <v>45333</v>
      </c>
      <c r="B313" t="s">
        <v>10</v>
      </c>
      <c r="C313">
        <v>125</v>
      </c>
      <c r="D313">
        <v>29</v>
      </c>
      <c r="E313">
        <v>1076</v>
      </c>
      <c r="F313">
        <v>0.23</v>
      </c>
      <c r="G313">
        <v>1450</v>
      </c>
    </row>
    <row r="314" spans="1:7" x14ac:dyDescent="0.35">
      <c r="A314" s="1">
        <v>45334</v>
      </c>
      <c r="B314" t="s">
        <v>10</v>
      </c>
      <c r="C314">
        <v>31</v>
      </c>
      <c r="D314">
        <v>9</v>
      </c>
      <c r="E314">
        <v>371</v>
      </c>
      <c r="F314">
        <v>0.28999999999999998</v>
      </c>
      <c r="G314">
        <v>450</v>
      </c>
    </row>
    <row r="315" spans="1:7" x14ac:dyDescent="0.35">
      <c r="A315" s="1">
        <v>45335</v>
      </c>
      <c r="B315" t="s">
        <v>10</v>
      </c>
      <c r="C315">
        <v>89</v>
      </c>
      <c r="D315">
        <v>42</v>
      </c>
      <c r="E315">
        <v>1984</v>
      </c>
      <c r="F315">
        <v>0.47</v>
      </c>
      <c r="G315">
        <v>2100</v>
      </c>
    </row>
    <row r="316" spans="1:7" x14ac:dyDescent="0.35">
      <c r="A316" s="1">
        <v>45336</v>
      </c>
      <c r="B316" t="s">
        <v>10</v>
      </c>
      <c r="C316">
        <v>81</v>
      </c>
      <c r="D316">
        <v>40</v>
      </c>
      <c r="E316">
        <v>352</v>
      </c>
      <c r="F316">
        <v>0.49</v>
      </c>
      <c r="G316">
        <v>2000</v>
      </c>
    </row>
    <row r="317" spans="1:7" x14ac:dyDescent="0.35">
      <c r="A317" s="1">
        <v>45337</v>
      </c>
      <c r="B317" t="s">
        <v>10</v>
      </c>
      <c r="C317">
        <v>26</v>
      </c>
      <c r="D317">
        <v>26</v>
      </c>
      <c r="E317">
        <v>750</v>
      </c>
      <c r="F317">
        <v>1</v>
      </c>
      <c r="G317">
        <v>1300</v>
      </c>
    </row>
    <row r="318" spans="1:7" x14ac:dyDescent="0.35">
      <c r="A318" s="1">
        <v>45338</v>
      </c>
      <c r="B318" t="s">
        <v>10</v>
      </c>
      <c r="C318">
        <v>142</v>
      </c>
      <c r="D318">
        <v>21</v>
      </c>
      <c r="E318">
        <v>209</v>
      </c>
      <c r="F318">
        <v>0.15</v>
      </c>
      <c r="G318">
        <v>1050</v>
      </c>
    </row>
    <row r="319" spans="1:7" x14ac:dyDescent="0.35">
      <c r="A319" s="1">
        <v>45339</v>
      </c>
      <c r="B319" t="s">
        <v>10</v>
      </c>
      <c r="C319">
        <v>126</v>
      </c>
      <c r="D319">
        <v>30</v>
      </c>
      <c r="E319">
        <v>1006</v>
      </c>
      <c r="F319">
        <v>0.24</v>
      </c>
      <c r="G319">
        <v>1500</v>
      </c>
    </row>
    <row r="320" spans="1:7" x14ac:dyDescent="0.35">
      <c r="A320" s="1">
        <v>45340</v>
      </c>
      <c r="B320" t="s">
        <v>10</v>
      </c>
      <c r="C320">
        <v>50</v>
      </c>
      <c r="D320">
        <v>25</v>
      </c>
      <c r="E320">
        <v>1748</v>
      </c>
      <c r="F320">
        <v>0.5</v>
      </c>
      <c r="G320">
        <v>1250</v>
      </c>
    </row>
    <row r="321" spans="1:7" x14ac:dyDescent="0.35">
      <c r="A321" s="1">
        <v>45341</v>
      </c>
      <c r="B321" t="s">
        <v>10</v>
      </c>
      <c r="C321">
        <v>37</v>
      </c>
      <c r="D321">
        <v>49</v>
      </c>
      <c r="E321">
        <v>942</v>
      </c>
      <c r="F321">
        <v>1.32</v>
      </c>
      <c r="G321">
        <v>2450</v>
      </c>
    </row>
    <row r="322" spans="1:7" x14ac:dyDescent="0.35">
      <c r="A322" s="1">
        <v>45342</v>
      </c>
      <c r="B322" t="s">
        <v>10</v>
      </c>
      <c r="C322">
        <v>88</v>
      </c>
      <c r="D322">
        <v>28</v>
      </c>
      <c r="E322">
        <v>1047</v>
      </c>
      <c r="F322">
        <v>0.32</v>
      </c>
      <c r="G322">
        <v>1400</v>
      </c>
    </row>
    <row r="323" spans="1:7" x14ac:dyDescent="0.35">
      <c r="A323" s="1">
        <v>45343</v>
      </c>
      <c r="B323" t="s">
        <v>10</v>
      </c>
      <c r="C323">
        <v>140</v>
      </c>
      <c r="D323">
        <v>36</v>
      </c>
      <c r="E323">
        <v>1903</v>
      </c>
      <c r="F323">
        <v>0.26</v>
      </c>
      <c r="G323">
        <v>1800</v>
      </c>
    </row>
    <row r="324" spans="1:7" x14ac:dyDescent="0.35">
      <c r="A324" s="1">
        <v>45344</v>
      </c>
      <c r="B324" t="s">
        <v>10</v>
      </c>
      <c r="C324">
        <v>28</v>
      </c>
      <c r="D324">
        <v>11</v>
      </c>
      <c r="E324">
        <v>1260</v>
      </c>
      <c r="F324">
        <v>0.39</v>
      </c>
      <c r="G324">
        <v>550</v>
      </c>
    </row>
    <row r="325" spans="1:7" x14ac:dyDescent="0.35">
      <c r="A325" s="1">
        <v>45345</v>
      </c>
      <c r="B325" t="s">
        <v>10</v>
      </c>
      <c r="C325">
        <v>148</v>
      </c>
      <c r="D325">
        <v>36</v>
      </c>
      <c r="E325">
        <v>1001</v>
      </c>
      <c r="F325">
        <v>0.24</v>
      </c>
      <c r="G325">
        <v>1800</v>
      </c>
    </row>
    <row r="326" spans="1:7" x14ac:dyDescent="0.35">
      <c r="A326" s="1">
        <v>45346</v>
      </c>
      <c r="B326" t="s">
        <v>10</v>
      </c>
      <c r="C326">
        <v>134</v>
      </c>
      <c r="D326">
        <v>27</v>
      </c>
      <c r="E326">
        <v>283</v>
      </c>
      <c r="F326">
        <v>0.2</v>
      </c>
      <c r="G326">
        <v>1350</v>
      </c>
    </row>
    <row r="327" spans="1:7" x14ac:dyDescent="0.35">
      <c r="A327" s="1">
        <v>45347</v>
      </c>
      <c r="B327" t="s">
        <v>10</v>
      </c>
      <c r="C327">
        <v>80</v>
      </c>
      <c r="D327">
        <v>26</v>
      </c>
      <c r="E327">
        <v>1152</v>
      </c>
      <c r="F327">
        <v>0.32</v>
      </c>
      <c r="G327">
        <v>1300</v>
      </c>
    </row>
    <row r="328" spans="1:7" x14ac:dyDescent="0.35">
      <c r="A328" s="1">
        <v>45348</v>
      </c>
      <c r="B328" t="s">
        <v>10</v>
      </c>
      <c r="C328">
        <v>78</v>
      </c>
      <c r="D328">
        <v>27</v>
      </c>
      <c r="E328">
        <v>1650</v>
      </c>
      <c r="F328">
        <v>0.35</v>
      </c>
      <c r="G328">
        <v>1350</v>
      </c>
    </row>
    <row r="329" spans="1:7" x14ac:dyDescent="0.35">
      <c r="A329" s="1">
        <v>45349</v>
      </c>
      <c r="B329" t="s">
        <v>10</v>
      </c>
      <c r="C329">
        <v>122</v>
      </c>
      <c r="D329">
        <v>14</v>
      </c>
      <c r="E329">
        <v>518</v>
      </c>
      <c r="F329">
        <v>0.11</v>
      </c>
      <c r="G329">
        <v>700</v>
      </c>
    </row>
    <row r="330" spans="1:7" x14ac:dyDescent="0.35">
      <c r="A330" s="1">
        <v>45350</v>
      </c>
      <c r="B330" t="s">
        <v>10</v>
      </c>
      <c r="C330">
        <v>71</v>
      </c>
      <c r="D330">
        <v>45</v>
      </c>
      <c r="E330">
        <v>338</v>
      </c>
      <c r="F330">
        <v>0.63</v>
      </c>
      <c r="G330">
        <v>2250</v>
      </c>
    </row>
    <row r="331" spans="1:7" x14ac:dyDescent="0.35">
      <c r="A331" s="1">
        <v>45351</v>
      </c>
      <c r="B331" t="s">
        <v>10</v>
      </c>
      <c r="C331">
        <v>133</v>
      </c>
      <c r="D331">
        <v>24</v>
      </c>
      <c r="E331">
        <v>469</v>
      </c>
      <c r="F331">
        <v>0.18</v>
      </c>
      <c r="G331">
        <v>1200</v>
      </c>
    </row>
    <row r="332" spans="1:7" x14ac:dyDescent="0.35">
      <c r="A332" s="1">
        <v>45352</v>
      </c>
      <c r="B332" t="s">
        <v>10</v>
      </c>
      <c r="C332">
        <v>93</v>
      </c>
      <c r="D332">
        <v>46</v>
      </c>
      <c r="E332">
        <v>1723</v>
      </c>
      <c r="F332">
        <v>0.49</v>
      </c>
      <c r="G332">
        <v>2300</v>
      </c>
    </row>
    <row r="333" spans="1:7" x14ac:dyDescent="0.35">
      <c r="A333" s="1">
        <v>45353</v>
      </c>
      <c r="B333" t="s">
        <v>10</v>
      </c>
      <c r="C333">
        <v>42</v>
      </c>
      <c r="D333">
        <v>9</v>
      </c>
      <c r="E333">
        <v>1178</v>
      </c>
      <c r="F333">
        <v>0.21</v>
      </c>
      <c r="G333">
        <v>450</v>
      </c>
    </row>
    <row r="334" spans="1:7" x14ac:dyDescent="0.35">
      <c r="A334" s="1">
        <v>45354</v>
      </c>
      <c r="B334" t="s">
        <v>10</v>
      </c>
      <c r="C334">
        <v>139</v>
      </c>
      <c r="D334">
        <v>42</v>
      </c>
      <c r="E334">
        <v>375</v>
      </c>
      <c r="F334">
        <v>0.3</v>
      </c>
      <c r="G334">
        <v>2100</v>
      </c>
    </row>
    <row r="335" spans="1:7" x14ac:dyDescent="0.35">
      <c r="A335" s="1">
        <v>45355</v>
      </c>
      <c r="B335" t="s">
        <v>10</v>
      </c>
      <c r="C335">
        <v>134</v>
      </c>
      <c r="D335">
        <v>37</v>
      </c>
      <c r="E335">
        <v>1650</v>
      </c>
      <c r="F335">
        <v>0.28000000000000003</v>
      </c>
      <c r="G335">
        <v>1850</v>
      </c>
    </row>
    <row r="336" spans="1:7" x14ac:dyDescent="0.35">
      <c r="A336" s="1">
        <v>45356</v>
      </c>
      <c r="B336" t="s">
        <v>10</v>
      </c>
      <c r="C336">
        <v>99</v>
      </c>
      <c r="D336">
        <v>12</v>
      </c>
      <c r="E336">
        <v>634</v>
      </c>
      <c r="F336">
        <v>0.12</v>
      </c>
      <c r="G336">
        <v>600</v>
      </c>
    </row>
    <row r="337" spans="1:7" x14ac:dyDescent="0.35">
      <c r="A337" s="1">
        <v>45357</v>
      </c>
      <c r="B337" t="s">
        <v>10</v>
      </c>
      <c r="C337">
        <v>28</v>
      </c>
      <c r="D337">
        <v>40</v>
      </c>
      <c r="E337">
        <v>161</v>
      </c>
      <c r="F337">
        <v>1.43</v>
      </c>
      <c r="G337">
        <v>2000</v>
      </c>
    </row>
    <row r="338" spans="1:7" x14ac:dyDescent="0.35">
      <c r="A338" s="1">
        <v>45358</v>
      </c>
      <c r="B338" t="s">
        <v>10</v>
      </c>
      <c r="C338">
        <v>120</v>
      </c>
      <c r="D338">
        <v>28</v>
      </c>
      <c r="E338">
        <v>815</v>
      </c>
      <c r="F338">
        <v>0.23</v>
      </c>
      <c r="G338">
        <v>1400</v>
      </c>
    </row>
    <row r="339" spans="1:7" x14ac:dyDescent="0.35">
      <c r="A339" s="1">
        <v>45359</v>
      </c>
      <c r="B339" t="s">
        <v>10</v>
      </c>
      <c r="C339">
        <v>23</v>
      </c>
      <c r="D339">
        <v>20</v>
      </c>
      <c r="E339">
        <v>1979</v>
      </c>
      <c r="F339">
        <v>0.87</v>
      </c>
      <c r="G339">
        <v>1000</v>
      </c>
    </row>
    <row r="340" spans="1:7" x14ac:dyDescent="0.35">
      <c r="A340" s="1">
        <v>45360</v>
      </c>
      <c r="B340" t="s">
        <v>10</v>
      </c>
      <c r="C340">
        <v>77</v>
      </c>
      <c r="D340">
        <v>43</v>
      </c>
      <c r="E340">
        <v>486</v>
      </c>
      <c r="F340">
        <v>0.56000000000000005</v>
      </c>
      <c r="G340">
        <v>2150</v>
      </c>
    </row>
    <row r="341" spans="1:7" x14ac:dyDescent="0.35">
      <c r="A341" s="1">
        <v>45361</v>
      </c>
      <c r="B341" t="s">
        <v>10</v>
      </c>
      <c r="C341">
        <v>139</v>
      </c>
      <c r="D341">
        <v>31</v>
      </c>
      <c r="E341">
        <v>745</v>
      </c>
      <c r="F341">
        <v>0.22</v>
      </c>
      <c r="G341">
        <v>1550</v>
      </c>
    </row>
    <row r="342" spans="1:7" x14ac:dyDescent="0.35">
      <c r="A342" s="1">
        <v>45362</v>
      </c>
      <c r="B342" t="s">
        <v>10</v>
      </c>
      <c r="C342">
        <v>33</v>
      </c>
      <c r="D342">
        <v>38</v>
      </c>
      <c r="E342">
        <v>464</v>
      </c>
      <c r="F342">
        <v>1.1499999999999999</v>
      </c>
      <c r="G342">
        <v>1900</v>
      </c>
    </row>
    <row r="343" spans="1:7" x14ac:dyDescent="0.35">
      <c r="A343" s="1">
        <v>45363</v>
      </c>
      <c r="B343" t="s">
        <v>10</v>
      </c>
      <c r="C343">
        <v>107</v>
      </c>
      <c r="D343">
        <v>10</v>
      </c>
      <c r="E343">
        <v>1483</v>
      </c>
      <c r="F343">
        <v>0.09</v>
      </c>
      <c r="G343">
        <v>500</v>
      </c>
    </row>
    <row r="344" spans="1:7" x14ac:dyDescent="0.35">
      <c r="A344" s="1">
        <v>45364</v>
      </c>
      <c r="B344" t="s">
        <v>10</v>
      </c>
      <c r="C344">
        <v>28</v>
      </c>
      <c r="D344">
        <v>49</v>
      </c>
      <c r="E344">
        <v>609</v>
      </c>
      <c r="F344">
        <v>1.75</v>
      </c>
      <c r="G344">
        <v>2450</v>
      </c>
    </row>
    <row r="345" spans="1:7" x14ac:dyDescent="0.35">
      <c r="A345" s="1">
        <v>45365</v>
      </c>
      <c r="B345" t="s">
        <v>10</v>
      </c>
      <c r="C345">
        <v>79</v>
      </c>
      <c r="D345">
        <v>19</v>
      </c>
      <c r="E345">
        <v>980</v>
      </c>
      <c r="F345">
        <v>0.24</v>
      </c>
      <c r="G345">
        <v>950</v>
      </c>
    </row>
    <row r="346" spans="1:7" x14ac:dyDescent="0.35">
      <c r="A346" s="1">
        <v>45366</v>
      </c>
      <c r="B346" t="s">
        <v>10</v>
      </c>
      <c r="C346">
        <v>70</v>
      </c>
      <c r="D346">
        <v>18</v>
      </c>
      <c r="E346">
        <v>1170</v>
      </c>
      <c r="F346">
        <v>0.26</v>
      </c>
      <c r="G346">
        <v>900</v>
      </c>
    </row>
    <row r="347" spans="1:7" x14ac:dyDescent="0.35">
      <c r="A347" s="1">
        <v>45367</v>
      </c>
      <c r="B347" t="s">
        <v>10</v>
      </c>
      <c r="C347">
        <v>35</v>
      </c>
      <c r="D347">
        <v>6</v>
      </c>
      <c r="E347">
        <v>1173</v>
      </c>
      <c r="F347">
        <v>0.17</v>
      </c>
      <c r="G347">
        <v>300</v>
      </c>
    </row>
    <row r="348" spans="1:7" x14ac:dyDescent="0.35">
      <c r="A348" s="1">
        <v>45368</v>
      </c>
      <c r="B348" t="s">
        <v>10</v>
      </c>
      <c r="C348">
        <v>111</v>
      </c>
      <c r="D348">
        <v>44</v>
      </c>
      <c r="E348">
        <v>295</v>
      </c>
      <c r="F348">
        <v>0.4</v>
      </c>
      <c r="G348">
        <v>2200</v>
      </c>
    </row>
    <row r="349" spans="1:7" x14ac:dyDescent="0.35">
      <c r="A349" s="1">
        <v>45369</v>
      </c>
      <c r="B349" t="s">
        <v>10</v>
      </c>
      <c r="C349">
        <v>51</v>
      </c>
      <c r="D349">
        <v>36</v>
      </c>
      <c r="E349">
        <v>367</v>
      </c>
      <c r="F349">
        <v>0.71</v>
      </c>
      <c r="G349">
        <v>1800</v>
      </c>
    </row>
    <row r="350" spans="1:7" x14ac:dyDescent="0.35">
      <c r="A350" s="1">
        <v>45370</v>
      </c>
      <c r="B350" t="s">
        <v>10</v>
      </c>
      <c r="C350">
        <v>71</v>
      </c>
      <c r="D350">
        <v>17</v>
      </c>
      <c r="E350">
        <v>597</v>
      </c>
      <c r="F350">
        <v>0.24</v>
      </c>
      <c r="G350">
        <v>850</v>
      </c>
    </row>
    <row r="351" spans="1:7" x14ac:dyDescent="0.35">
      <c r="A351" s="1">
        <v>45371</v>
      </c>
      <c r="B351" t="s">
        <v>10</v>
      </c>
      <c r="C351">
        <v>77</v>
      </c>
      <c r="D351">
        <v>35</v>
      </c>
      <c r="E351">
        <v>1670</v>
      </c>
      <c r="F351">
        <v>0.45</v>
      </c>
      <c r="G351">
        <v>1750</v>
      </c>
    </row>
    <row r="352" spans="1:7" x14ac:dyDescent="0.35">
      <c r="A352" s="1">
        <v>45372</v>
      </c>
      <c r="B352" t="s">
        <v>10</v>
      </c>
      <c r="C352">
        <v>46</v>
      </c>
      <c r="D352">
        <v>34</v>
      </c>
      <c r="E352">
        <v>1168</v>
      </c>
      <c r="F352">
        <v>0.74</v>
      </c>
      <c r="G352">
        <v>1700</v>
      </c>
    </row>
    <row r="353" spans="1:7" x14ac:dyDescent="0.35">
      <c r="A353" s="1">
        <v>45373</v>
      </c>
      <c r="B353" t="s">
        <v>10</v>
      </c>
      <c r="C353">
        <v>46</v>
      </c>
      <c r="D353">
        <v>31</v>
      </c>
      <c r="E353">
        <v>135</v>
      </c>
      <c r="F353">
        <v>0.67</v>
      </c>
      <c r="G353">
        <v>1550</v>
      </c>
    </row>
    <row r="354" spans="1:7" x14ac:dyDescent="0.35">
      <c r="A354" s="1">
        <v>45374</v>
      </c>
      <c r="B354" t="s">
        <v>10</v>
      </c>
      <c r="C354">
        <v>99</v>
      </c>
      <c r="D354">
        <v>36</v>
      </c>
      <c r="E354">
        <v>451</v>
      </c>
      <c r="F354">
        <v>0.36</v>
      </c>
      <c r="G354">
        <v>1800</v>
      </c>
    </row>
    <row r="355" spans="1:7" x14ac:dyDescent="0.35">
      <c r="A355" s="1">
        <v>45375</v>
      </c>
      <c r="B355" t="s">
        <v>10</v>
      </c>
      <c r="C355">
        <v>131</v>
      </c>
      <c r="D355">
        <v>43</v>
      </c>
      <c r="E355">
        <v>283</v>
      </c>
      <c r="F355">
        <v>0.33</v>
      </c>
      <c r="G355">
        <v>2150</v>
      </c>
    </row>
    <row r="356" spans="1:7" x14ac:dyDescent="0.35">
      <c r="A356" s="1">
        <v>45376</v>
      </c>
      <c r="B356" t="s">
        <v>10</v>
      </c>
      <c r="C356">
        <v>69</v>
      </c>
      <c r="D356">
        <v>45</v>
      </c>
      <c r="E356">
        <v>806</v>
      </c>
      <c r="F356">
        <v>0.65</v>
      </c>
      <c r="G356">
        <v>2250</v>
      </c>
    </row>
    <row r="357" spans="1:7" x14ac:dyDescent="0.35">
      <c r="A357" s="1">
        <v>45377</v>
      </c>
      <c r="B357" t="s">
        <v>10</v>
      </c>
      <c r="C357">
        <v>44</v>
      </c>
      <c r="D357">
        <v>39</v>
      </c>
      <c r="E357">
        <v>1499</v>
      </c>
      <c r="F357">
        <v>0.89</v>
      </c>
      <c r="G357">
        <v>1950</v>
      </c>
    </row>
    <row r="358" spans="1:7" x14ac:dyDescent="0.35">
      <c r="A358" s="1">
        <v>45378</v>
      </c>
      <c r="B358" t="s">
        <v>10</v>
      </c>
      <c r="C358">
        <v>71</v>
      </c>
      <c r="D358">
        <v>31</v>
      </c>
      <c r="E358">
        <v>887</v>
      </c>
      <c r="F358">
        <v>0.44</v>
      </c>
      <c r="G358">
        <v>1550</v>
      </c>
    </row>
    <row r="359" spans="1:7" x14ac:dyDescent="0.35">
      <c r="A359" s="1">
        <v>45379</v>
      </c>
      <c r="B359" t="s">
        <v>10</v>
      </c>
      <c r="C359">
        <v>134</v>
      </c>
      <c r="D359">
        <v>28</v>
      </c>
      <c r="E359">
        <v>1140</v>
      </c>
      <c r="F359">
        <v>0.21</v>
      </c>
      <c r="G359">
        <v>1400</v>
      </c>
    </row>
    <row r="360" spans="1:7" x14ac:dyDescent="0.35">
      <c r="A360" s="1">
        <v>45380</v>
      </c>
      <c r="B360" t="s">
        <v>10</v>
      </c>
      <c r="C360">
        <v>49</v>
      </c>
      <c r="D360">
        <v>24</v>
      </c>
      <c r="E360">
        <v>1297</v>
      </c>
      <c r="F360">
        <v>0.49</v>
      </c>
      <c r="G360">
        <v>1200</v>
      </c>
    </row>
    <row r="361" spans="1:7" x14ac:dyDescent="0.35">
      <c r="A361" s="1">
        <v>45381</v>
      </c>
      <c r="B361" t="s">
        <v>10</v>
      </c>
      <c r="C361">
        <v>134</v>
      </c>
      <c r="D361">
        <v>33</v>
      </c>
      <c r="E361">
        <v>397</v>
      </c>
      <c r="F361">
        <v>0.25</v>
      </c>
      <c r="G361">
        <v>1650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83CF-CA35-4098-A9C2-788DBF91E75F}">
  <dimension ref="A1:J361"/>
  <sheetViews>
    <sheetView workbookViewId="0">
      <selection activeCell="H2" sqref="H2"/>
    </sheetView>
  </sheetViews>
  <sheetFormatPr defaultRowHeight="14.5" x14ac:dyDescent="0.35"/>
  <cols>
    <col min="1" max="1" width="10.08984375" bestFit="1" customWidth="1"/>
    <col min="2" max="2" width="12.7265625" bestFit="1" customWidth="1"/>
    <col min="3" max="3" width="7.81640625" bestFit="1" customWidth="1"/>
    <col min="4" max="4" width="13.26953125" bestFit="1" customWidth="1"/>
    <col min="5" max="5" width="11" bestFit="1" customWidth="1"/>
    <col min="6" max="6" width="16.81640625" bestFit="1" customWidth="1"/>
    <col min="7" max="7" width="10.26953125" bestFit="1" customWidth="1"/>
    <col min="8" max="8" width="9.36328125" bestFit="1" customWidth="1"/>
    <col min="9" max="9" width="15" bestFit="1" customWidth="1"/>
    <col min="10" max="10" width="12.08984375" customWidth="1"/>
    <col min="11" max="11" width="17" customWidth="1"/>
    <col min="12" max="12" width="16.26953125" customWidth="1"/>
  </cols>
  <sheetData>
    <row r="1" spans="1:10" x14ac:dyDescent="0.35">
      <c r="A1" s="6" t="s">
        <v>0</v>
      </c>
      <c r="B1" s="6" t="s">
        <v>1</v>
      </c>
      <c r="C1" s="6" t="s">
        <v>2</v>
      </c>
      <c r="D1" s="6" t="s">
        <v>3</v>
      </c>
      <c r="E1" s="6" t="s">
        <v>4</v>
      </c>
      <c r="F1" s="6" t="s">
        <v>5</v>
      </c>
      <c r="G1" s="7" t="s">
        <v>6</v>
      </c>
      <c r="H1" s="14" t="s">
        <v>16</v>
      </c>
      <c r="I1" s="14" t="s">
        <v>27</v>
      </c>
      <c r="J1" s="14" t="s">
        <v>28</v>
      </c>
    </row>
    <row r="2" spans="1:10" x14ac:dyDescent="0.35">
      <c r="A2" s="16">
        <v>45292</v>
      </c>
      <c r="B2" s="8" t="s">
        <v>7</v>
      </c>
      <c r="C2" s="8">
        <v>121</v>
      </c>
      <c r="D2" s="8">
        <v>32</v>
      </c>
      <c r="E2" s="8">
        <v>1204</v>
      </c>
      <c r="F2" s="8">
        <v>0.26</v>
      </c>
      <c r="G2" s="9">
        <v>1600</v>
      </c>
      <c r="H2" s="15">
        <f>G2/E2</f>
        <v>1.3289036544850499</v>
      </c>
      <c r="I2" s="15">
        <f>Table2[[#This Row],[Ad Spend]]/Table2[[#This Row],[Leads]]</f>
        <v>9.9504132231404956</v>
      </c>
      <c r="J2" s="15">
        <f>Table2[[#This Row],[Ad Spend]]/Table2[[#This Row],[Conversions]]</f>
        <v>37.625</v>
      </c>
    </row>
    <row r="3" spans="1:10" x14ac:dyDescent="0.35">
      <c r="A3" s="17">
        <v>45293</v>
      </c>
      <c r="B3" s="10" t="s">
        <v>7</v>
      </c>
      <c r="C3" s="10">
        <v>128</v>
      </c>
      <c r="D3" s="10">
        <v>7</v>
      </c>
      <c r="E3" s="10">
        <v>1083</v>
      </c>
      <c r="F3" s="10">
        <v>0.05</v>
      </c>
      <c r="G3" s="11">
        <v>350</v>
      </c>
      <c r="H3" s="15">
        <f t="shared" ref="H3:H66" si="0">G3/E3</f>
        <v>0.32317636195752542</v>
      </c>
      <c r="I3" s="15">
        <f>Table2[[#This Row],[Ad Spend]]/Table2[[#This Row],[Leads]]</f>
        <v>8.4609375</v>
      </c>
      <c r="J3" s="15">
        <f>Table2[[#This Row],[Ad Spend]]/Table2[[#This Row],[Conversions]]</f>
        <v>154.71428571428572</v>
      </c>
    </row>
    <row r="4" spans="1:10" x14ac:dyDescent="0.35">
      <c r="A4" s="16">
        <v>45294</v>
      </c>
      <c r="B4" s="8" t="s">
        <v>7</v>
      </c>
      <c r="C4" s="8">
        <v>20</v>
      </c>
      <c r="D4" s="8">
        <v>5</v>
      </c>
      <c r="E4" s="8">
        <v>1074</v>
      </c>
      <c r="F4" s="8">
        <v>0.25</v>
      </c>
      <c r="G4" s="9">
        <v>250</v>
      </c>
      <c r="H4" s="15">
        <f t="shared" si="0"/>
        <v>0.23277467411545624</v>
      </c>
      <c r="I4" s="15">
        <f>Table2[[#This Row],[Ad Spend]]/Table2[[#This Row],[Leads]]</f>
        <v>53.7</v>
      </c>
      <c r="J4" s="15">
        <f>Table2[[#This Row],[Ad Spend]]/Table2[[#This Row],[Conversions]]</f>
        <v>214.8</v>
      </c>
    </row>
    <row r="5" spans="1:10" x14ac:dyDescent="0.35">
      <c r="A5" s="17">
        <v>45295</v>
      </c>
      <c r="B5" s="10" t="s">
        <v>7</v>
      </c>
      <c r="C5" s="10">
        <v>128</v>
      </c>
      <c r="D5" s="10">
        <v>41</v>
      </c>
      <c r="E5" s="10">
        <v>1161</v>
      </c>
      <c r="F5" s="10">
        <v>0.32</v>
      </c>
      <c r="G5" s="11">
        <v>2050</v>
      </c>
      <c r="H5" s="15">
        <f t="shared" si="0"/>
        <v>1.7657192075796726</v>
      </c>
      <c r="I5" s="15">
        <f>Table2[[#This Row],[Ad Spend]]/Table2[[#This Row],[Leads]]</f>
        <v>9.0703125</v>
      </c>
      <c r="J5" s="15">
        <f>Table2[[#This Row],[Ad Spend]]/Table2[[#This Row],[Conversions]]</f>
        <v>28.317073170731707</v>
      </c>
    </row>
    <row r="6" spans="1:10" x14ac:dyDescent="0.35">
      <c r="A6" s="16">
        <v>45296</v>
      </c>
      <c r="B6" s="8" t="s">
        <v>7</v>
      </c>
      <c r="C6" s="8">
        <v>58</v>
      </c>
      <c r="D6" s="8">
        <v>5</v>
      </c>
      <c r="E6" s="8">
        <v>847</v>
      </c>
      <c r="F6" s="8">
        <v>0.09</v>
      </c>
      <c r="G6" s="9">
        <v>250</v>
      </c>
      <c r="H6" s="15">
        <f t="shared" si="0"/>
        <v>0.29515938606847697</v>
      </c>
      <c r="I6" s="15">
        <f>Table2[[#This Row],[Ad Spend]]/Table2[[#This Row],[Leads]]</f>
        <v>14.603448275862069</v>
      </c>
      <c r="J6" s="15">
        <f>Table2[[#This Row],[Ad Spend]]/Table2[[#This Row],[Conversions]]</f>
        <v>169.4</v>
      </c>
    </row>
    <row r="7" spans="1:10" x14ac:dyDescent="0.35">
      <c r="A7" s="17">
        <v>45297</v>
      </c>
      <c r="B7" s="10" t="s">
        <v>7</v>
      </c>
      <c r="C7" s="10">
        <v>29</v>
      </c>
      <c r="D7" s="10">
        <v>46</v>
      </c>
      <c r="E7" s="10">
        <v>614</v>
      </c>
      <c r="F7" s="10">
        <v>1.59</v>
      </c>
      <c r="G7" s="11">
        <v>2300</v>
      </c>
      <c r="H7" s="15">
        <f t="shared" si="0"/>
        <v>3.7459283387622149</v>
      </c>
      <c r="I7" s="15">
        <f>Table2[[#This Row],[Ad Spend]]/Table2[[#This Row],[Leads]]</f>
        <v>21.172413793103448</v>
      </c>
      <c r="J7" s="15">
        <f>Table2[[#This Row],[Ad Spend]]/Table2[[#This Row],[Conversions]]</f>
        <v>13.347826086956522</v>
      </c>
    </row>
    <row r="8" spans="1:10" x14ac:dyDescent="0.35">
      <c r="A8" s="16">
        <v>45298</v>
      </c>
      <c r="B8" s="8" t="s">
        <v>7</v>
      </c>
      <c r="C8" s="8">
        <v>69</v>
      </c>
      <c r="D8" s="8">
        <v>48</v>
      </c>
      <c r="E8" s="8">
        <v>1307</v>
      </c>
      <c r="F8" s="8">
        <v>0.7</v>
      </c>
      <c r="G8" s="9">
        <v>2400</v>
      </c>
      <c r="H8" s="15">
        <f t="shared" si="0"/>
        <v>1.836266258607498</v>
      </c>
      <c r="I8" s="15">
        <f>Table2[[#This Row],[Ad Spend]]/Table2[[#This Row],[Leads]]</f>
        <v>18.942028985507246</v>
      </c>
      <c r="J8" s="15">
        <f>Table2[[#This Row],[Ad Spend]]/Table2[[#This Row],[Conversions]]</f>
        <v>27.229166666666668</v>
      </c>
    </row>
    <row r="9" spans="1:10" x14ac:dyDescent="0.35">
      <c r="A9" s="17">
        <v>45299</v>
      </c>
      <c r="B9" s="10" t="s">
        <v>7</v>
      </c>
      <c r="C9" s="10">
        <v>45</v>
      </c>
      <c r="D9" s="10">
        <v>10</v>
      </c>
      <c r="E9" s="10">
        <v>1915</v>
      </c>
      <c r="F9" s="10">
        <v>0.22</v>
      </c>
      <c r="G9" s="11">
        <v>500</v>
      </c>
      <c r="H9" s="15">
        <f t="shared" si="0"/>
        <v>0.26109660574412535</v>
      </c>
      <c r="I9" s="15">
        <f>Table2[[#This Row],[Ad Spend]]/Table2[[#This Row],[Leads]]</f>
        <v>42.555555555555557</v>
      </c>
      <c r="J9" s="15">
        <f>Table2[[#This Row],[Ad Spend]]/Table2[[#This Row],[Conversions]]</f>
        <v>191.5</v>
      </c>
    </row>
    <row r="10" spans="1:10" x14ac:dyDescent="0.35">
      <c r="A10" s="16">
        <v>45300</v>
      </c>
      <c r="B10" s="8" t="s">
        <v>7</v>
      </c>
      <c r="C10" s="8">
        <v>74</v>
      </c>
      <c r="D10" s="8">
        <v>9</v>
      </c>
      <c r="E10" s="8">
        <v>824</v>
      </c>
      <c r="F10" s="8">
        <v>0.12</v>
      </c>
      <c r="G10" s="9">
        <v>450</v>
      </c>
      <c r="H10" s="15">
        <f t="shared" si="0"/>
        <v>0.54611650485436891</v>
      </c>
      <c r="I10" s="15">
        <f>Table2[[#This Row],[Ad Spend]]/Table2[[#This Row],[Leads]]</f>
        <v>11.135135135135135</v>
      </c>
      <c r="J10" s="15">
        <f>Table2[[#This Row],[Ad Spend]]/Table2[[#This Row],[Conversions]]</f>
        <v>91.555555555555557</v>
      </c>
    </row>
    <row r="11" spans="1:10" x14ac:dyDescent="0.35">
      <c r="A11" s="17">
        <v>45301</v>
      </c>
      <c r="B11" s="10" t="s">
        <v>7</v>
      </c>
      <c r="C11" s="10">
        <v>32</v>
      </c>
      <c r="D11" s="10">
        <v>49</v>
      </c>
      <c r="E11" s="10">
        <v>499</v>
      </c>
      <c r="F11" s="10">
        <v>1.53</v>
      </c>
      <c r="G11" s="11">
        <v>2450</v>
      </c>
      <c r="H11" s="15">
        <f t="shared" si="0"/>
        <v>4.9098196392785569</v>
      </c>
      <c r="I11" s="15">
        <f>Table2[[#This Row],[Ad Spend]]/Table2[[#This Row],[Leads]]</f>
        <v>15.59375</v>
      </c>
      <c r="J11" s="15">
        <f>Table2[[#This Row],[Ad Spend]]/Table2[[#This Row],[Conversions]]</f>
        <v>10.183673469387756</v>
      </c>
    </row>
    <row r="12" spans="1:10" x14ac:dyDescent="0.35">
      <c r="A12" s="16">
        <v>45302</v>
      </c>
      <c r="B12" s="8" t="s">
        <v>7</v>
      </c>
      <c r="C12" s="8">
        <v>54</v>
      </c>
      <c r="D12" s="8">
        <v>31</v>
      </c>
      <c r="E12" s="8">
        <v>1138</v>
      </c>
      <c r="F12" s="8">
        <v>0.56999999999999995</v>
      </c>
      <c r="G12" s="9">
        <v>1550</v>
      </c>
      <c r="H12" s="15">
        <f t="shared" si="0"/>
        <v>1.3620386643233744</v>
      </c>
      <c r="I12" s="15">
        <f>Table2[[#This Row],[Ad Spend]]/Table2[[#This Row],[Leads]]</f>
        <v>21.074074074074073</v>
      </c>
      <c r="J12" s="15">
        <f>Table2[[#This Row],[Ad Spend]]/Table2[[#This Row],[Conversions]]</f>
        <v>36.70967741935484</v>
      </c>
    </row>
    <row r="13" spans="1:10" x14ac:dyDescent="0.35">
      <c r="A13" s="17">
        <v>45303</v>
      </c>
      <c r="B13" s="10" t="s">
        <v>7</v>
      </c>
      <c r="C13" s="10">
        <v>148</v>
      </c>
      <c r="D13" s="10">
        <v>25</v>
      </c>
      <c r="E13" s="10">
        <v>1992</v>
      </c>
      <c r="F13" s="10">
        <v>0.17</v>
      </c>
      <c r="G13" s="11">
        <v>1250</v>
      </c>
      <c r="H13" s="15">
        <f t="shared" si="0"/>
        <v>0.6275100401606426</v>
      </c>
      <c r="I13" s="15">
        <f>Table2[[#This Row],[Ad Spend]]/Table2[[#This Row],[Leads]]</f>
        <v>13.45945945945946</v>
      </c>
      <c r="J13" s="15">
        <f>Table2[[#This Row],[Ad Spend]]/Table2[[#This Row],[Conversions]]</f>
        <v>79.680000000000007</v>
      </c>
    </row>
    <row r="14" spans="1:10" x14ac:dyDescent="0.35">
      <c r="A14" s="16">
        <v>45304</v>
      </c>
      <c r="B14" s="8" t="s">
        <v>7</v>
      </c>
      <c r="C14" s="8">
        <v>29</v>
      </c>
      <c r="D14" s="8">
        <v>16</v>
      </c>
      <c r="E14" s="8">
        <v>161</v>
      </c>
      <c r="F14" s="8">
        <v>0.55000000000000004</v>
      </c>
      <c r="G14" s="9">
        <v>800</v>
      </c>
      <c r="H14" s="15">
        <f t="shared" si="0"/>
        <v>4.9689440993788816</v>
      </c>
      <c r="I14" s="15">
        <f>Table2[[#This Row],[Ad Spend]]/Table2[[#This Row],[Leads]]</f>
        <v>5.5517241379310347</v>
      </c>
      <c r="J14" s="15">
        <f>Table2[[#This Row],[Ad Spend]]/Table2[[#This Row],[Conversions]]</f>
        <v>10.0625</v>
      </c>
    </row>
    <row r="15" spans="1:10" x14ac:dyDescent="0.35">
      <c r="A15" s="17">
        <v>45305</v>
      </c>
      <c r="B15" s="10" t="s">
        <v>7</v>
      </c>
      <c r="C15" s="10">
        <v>127</v>
      </c>
      <c r="D15" s="10">
        <v>21</v>
      </c>
      <c r="E15" s="10">
        <v>920</v>
      </c>
      <c r="F15" s="10">
        <v>0.17</v>
      </c>
      <c r="G15" s="11">
        <v>1050</v>
      </c>
      <c r="H15" s="15">
        <f t="shared" si="0"/>
        <v>1.1413043478260869</v>
      </c>
      <c r="I15" s="15">
        <f>Table2[[#This Row],[Ad Spend]]/Table2[[#This Row],[Leads]]</f>
        <v>7.2440944881889759</v>
      </c>
      <c r="J15" s="15">
        <f>Table2[[#This Row],[Ad Spend]]/Table2[[#This Row],[Conversions]]</f>
        <v>43.80952380952381</v>
      </c>
    </row>
    <row r="16" spans="1:10" x14ac:dyDescent="0.35">
      <c r="A16" s="16">
        <v>45306</v>
      </c>
      <c r="B16" s="8" t="s">
        <v>7</v>
      </c>
      <c r="C16" s="8">
        <v>136</v>
      </c>
      <c r="D16" s="8">
        <v>16</v>
      </c>
      <c r="E16" s="8">
        <v>1685</v>
      </c>
      <c r="F16" s="8">
        <v>0.12</v>
      </c>
      <c r="G16" s="9">
        <v>800</v>
      </c>
      <c r="H16" s="15">
        <f t="shared" si="0"/>
        <v>0.47477744807121663</v>
      </c>
      <c r="I16" s="15">
        <f>Table2[[#This Row],[Ad Spend]]/Table2[[#This Row],[Leads]]</f>
        <v>12.389705882352942</v>
      </c>
      <c r="J16" s="15">
        <f>Table2[[#This Row],[Ad Spend]]/Table2[[#This Row],[Conversions]]</f>
        <v>105.3125</v>
      </c>
    </row>
    <row r="17" spans="1:10" x14ac:dyDescent="0.35">
      <c r="A17" s="17">
        <v>45307</v>
      </c>
      <c r="B17" s="10" t="s">
        <v>7</v>
      </c>
      <c r="C17" s="10">
        <v>45</v>
      </c>
      <c r="D17" s="10">
        <v>37</v>
      </c>
      <c r="E17" s="10">
        <v>1779</v>
      </c>
      <c r="F17" s="10">
        <v>0.82</v>
      </c>
      <c r="G17" s="11">
        <v>1850</v>
      </c>
      <c r="H17" s="15">
        <f t="shared" si="0"/>
        <v>1.0399100618324901</v>
      </c>
      <c r="I17" s="15">
        <f>Table2[[#This Row],[Ad Spend]]/Table2[[#This Row],[Leads]]</f>
        <v>39.533333333333331</v>
      </c>
      <c r="J17" s="15">
        <f>Table2[[#This Row],[Ad Spend]]/Table2[[#This Row],[Conversions]]</f>
        <v>48.081081081081081</v>
      </c>
    </row>
    <row r="18" spans="1:10" x14ac:dyDescent="0.35">
      <c r="A18" s="16">
        <v>45308</v>
      </c>
      <c r="B18" s="8" t="s">
        <v>7</v>
      </c>
      <c r="C18" s="8">
        <v>25</v>
      </c>
      <c r="D18" s="8">
        <v>36</v>
      </c>
      <c r="E18" s="8">
        <v>1950</v>
      </c>
      <c r="F18" s="8">
        <v>1.44</v>
      </c>
      <c r="G18" s="9">
        <v>1800</v>
      </c>
      <c r="H18" s="15">
        <f t="shared" si="0"/>
        <v>0.92307692307692313</v>
      </c>
      <c r="I18" s="15">
        <f>Table2[[#This Row],[Ad Spend]]/Table2[[#This Row],[Leads]]</f>
        <v>78</v>
      </c>
      <c r="J18" s="15">
        <f>Table2[[#This Row],[Ad Spend]]/Table2[[#This Row],[Conversions]]</f>
        <v>54.166666666666664</v>
      </c>
    </row>
    <row r="19" spans="1:10" x14ac:dyDescent="0.35">
      <c r="A19" s="17">
        <v>45309</v>
      </c>
      <c r="B19" s="10" t="s">
        <v>7</v>
      </c>
      <c r="C19" s="10">
        <v>87</v>
      </c>
      <c r="D19" s="10">
        <v>35</v>
      </c>
      <c r="E19" s="10">
        <v>426</v>
      </c>
      <c r="F19" s="10">
        <v>0.4</v>
      </c>
      <c r="G19" s="11">
        <v>1750</v>
      </c>
      <c r="H19" s="15">
        <f t="shared" si="0"/>
        <v>4.107981220657277</v>
      </c>
      <c r="I19" s="15">
        <f>Table2[[#This Row],[Ad Spend]]/Table2[[#This Row],[Leads]]</f>
        <v>4.8965517241379306</v>
      </c>
      <c r="J19" s="15">
        <f>Table2[[#This Row],[Ad Spend]]/Table2[[#This Row],[Conversions]]</f>
        <v>12.171428571428571</v>
      </c>
    </row>
    <row r="20" spans="1:10" x14ac:dyDescent="0.35">
      <c r="A20" s="16">
        <v>45310</v>
      </c>
      <c r="B20" s="8" t="s">
        <v>7</v>
      </c>
      <c r="C20" s="8">
        <v>68</v>
      </c>
      <c r="D20" s="8">
        <v>8</v>
      </c>
      <c r="E20" s="8">
        <v>1733</v>
      </c>
      <c r="F20" s="8">
        <v>0.12</v>
      </c>
      <c r="G20" s="9">
        <v>400</v>
      </c>
      <c r="H20" s="15">
        <f t="shared" si="0"/>
        <v>0.2308136180034622</v>
      </c>
      <c r="I20" s="15">
        <f>Table2[[#This Row],[Ad Spend]]/Table2[[#This Row],[Leads]]</f>
        <v>25.485294117647058</v>
      </c>
      <c r="J20" s="15">
        <f>Table2[[#This Row],[Ad Spend]]/Table2[[#This Row],[Conversions]]</f>
        <v>216.625</v>
      </c>
    </row>
    <row r="21" spans="1:10" x14ac:dyDescent="0.35">
      <c r="A21" s="17">
        <v>45311</v>
      </c>
      <c r="B21" s="10" t="s">
        <v>7</v>
      </c>
      <c r="C21" s="10">
        <v>147</v>
      </c>
      <c r="D21" s="10">
        <v>6</v>
      </c>
      <c r="E21" s="10">
        <v>1525</v>
      </c>
      <c r="F21" s="10">
        <v>0.04</v>
      </c>
      <c r="G21" s="11">
        <v>300</v>
      </c>
      <c r="H21" s="15">
        <f t="shared" si="0"/>
        <v>0.19672131147540983</v>
      </c>
      <c r="I21" s="15">
        <f>Table2[[#This Row],[Ad Spend]]/Table2[[#This Row],[Leads]]</f>
        <v>10.374149659863946</v>
      </c>
      <c r="J21" s="15">
        <f>Table2[[#This Row],[Ad Spend]]/Table2[[#This Row],[Conversions]]</f>
        <v>254.16666666666666</v>
      </c>
    </row>
    <row r="22" spans="1:10" x14ac:dyDescent="0.35">
      <c r="A22" s="16">
        <v>45312</v>
      </c>
      <c r="B22" s="8" t="s">
        <v>7</v>
      </c>
      <c r="C22" s="8">
        <v>91</v>
      </c>
      <c r="D22" s="8">
        <v>44</v>
      </c>
      <c r="E22" s="8">
        <v>1429</v>
      </c>
      <c r="F22" s="8">
        <v>0.48</v>
      </c>
      <c r="G22" s="9">
        <v>2200</v>
      </c>
      <c r="H22" s="15">
        <f t="shared" si="0"/>
        <v>1.5395381385584326</v>
      </c>
      <c r="I22" s="15">
        <f>Table2[[#This Row],[Ad Spend]]/Table2[[#This Row],[Leads]]</f>
        <v>15.703296703296703</v>
      </c>
      <c r="J22" s="15">
        <f>Table2[[#This Row],[Ad Spend]]/Table2[[#This Row],[Conversions]]</f>
        <v>32.477272727272727</v>
      </c>
    </row>
    <row r="23" spans="1:10" x14ac:dyDescent="0.35">
      <c r="A23" s="17">
        <v>45313</v>
      </c>
      <c r="B23" s="10" t="s">
        <v>7</v>
      </c>
      <c r="C23" s="10">
        <v>120</v>
      </c>
      <c r="D23" s="10">
        <v>40</v>
      </c>
      <c r="E23" s="10">
        <v>1482</v>
      </c>
      <c r="F23" s="10">
        <v>0.33</v>
      </c>
      <c r="G23" s="11">
        <v>2000</v>
      </c>
      <c r="H23" s="15">
        <f t="shared" si="0"/>
        <v>1.3495276653171391</v>
      </c>
      <c r="I23" s="15">
        <f>Table2[[#This Row],[Ad Spend]]/Table2[[#This Row],[Leads]]</f>
        <v>12.35</v>
      </c>
      <c r="J23" s="15">
        <f>Table2[[#This Row],[Ad Spend]]/Table2[[#This Row],[Conversions]]</f>
        <v>37.049999999999997</v>
      </c>
    </row>
    <row r="24" spans="1:10" x14ac:dyDescent="0.35">
      <c r="A24" s="16">
        <v>45314</v>
      </c>
      <c r="B24" s="8" t="s">
        <v>7</v>
      </c>
      <c r="C24" s="8">
        <v>96</v>
      </c>
      <c r="D24" s="8">
        <v>10</v>
      </c>
      <c r="E24" s="8">
        <v>1395</v>
      </c>
      <c r="F24" s="8">
        <v>0.1</v>
      </c>
      <c r="G24" s="9">
        <v>500</v>
      </c>
      <c r="H24" s="15">
        <f t="shared" si="0"/>
        <v>0.35842293906810035</v>
      </c>
      <c r="I24" s="15">
        <f>Table2[[#This Row],[Ad Spend]]/Table2[[#This Row],[Leads]]</f>
        <v>14.53125</v>
      </c>
      <c r="J24" s="15">
        <f>Table2[[#This Row],[Ad Spend]]/Table2[[#This Row],[Conversions]]</f>
        <v>139.5</v>
      </c>
    </row>
    <row r="25" spans="1:10" x14ac:dyDescent="0.35">
      <c r="A25" s="17">
        <v>45315</v>
      </c>
      <c r="B25" s="10" t="s">
        <v>7</v>
      </c>
      <c r="C25" s="10">
        <v>103</v>
      </c>
      <c r="D25" s="10">
        <v>45</v>
      </c>
      <c r="E25" s="10">
        <v>1216</v>
      </c>
      <c r="F25" s="10">
        <v>0.44</v>
      </c>
      <c r="G25" s="11">
        <v>2250</v>
      </c>
      <c r="H25" s="15">
        <f t="shared" si="0"/>
        <v>1.850328947368421</v>
      </c>
      <c r="I25" s="15">
        <f>Table2[[#This Row],[Ad Spend]]/Table2[[#This Row],[Leads]]</f>
        <v>11.805825242718447</v>
      </c>
      <c r="J25" s="15">
        <f>Table2[[#This Row],[Ad Spend]]/Table2[[#This Row],[Conversions]]</f>
        <v>27.022222222222222</v>
      </c>
    </row>
    <row r="26" spans="1:10" x14ac:dyDescent="0.35">
      <c r="A26" s="16">
        <v>45316</v>
      </c>
      <c r="B26" s="8" t="s">
        <v>7</v>
      </c>
      <c r="C26" s="8">
        <v>141</v>
      </c>
      <c r="D26" s="8">
        <v>48</v>
      </c>
      <c r="E26" s="8">
        <v>1153</v>
      </c>
      <c r="F26" s="8">
        <v>0.34</v>
      </c>
      <c r="G26" s="9">
        <v>2400</v>
      </c>
      <c r="H26" s="15">
        <f t="shared" si="0"/>
        <v>2.0815264527320037</v>
      </c>
      <c r="I26" s="15">
        <f>Table2[[#This Row],[Ad Spend]]/Table2[[#This Row],[Leads]]</f>
        <v>8.1773049645390063</v>
      </c>
      <c r="J26" s="15">
        <f>Table2[[#This Row],[Ad Spend]]/Table2[[#This Row],[Conversions]]</f>
        <v>24.020833333333332</v>
      </c>
    </row>
    <row r="27" spans="1:10" x14ac:dyDescent="0.35">
      <c r="A27" s="17">
        <v>45317</v>
      </c>
      <c r="B27" s="10" t="s">
        <v>7</v>
      </c>
      <c r="C27" s="10">
        <v>84</v>
      </c>
      <c r="D27" s="10">
        <v>7</v>
      </c>
      <c r="E27" s="10">
        <v>466</v>
      </c>
      <c r="F27" s="10">
        <v>0.08</v>
      </c>
      <c r="G27" s="11">
        <v>350</v>
      </c>
      <c r="H27" s="15">
        <f t="shared" si="0"/>
        <v>0.75107296137339052</v>
      </c>
      <c r="I27" s="15">
        <f>Table2[[#This Row],[Ad Spend]]/Table2[[#This Row],[Leads]]</f>
        <v>5.5476190476190474</v>
      </c>
      <c r="J27" s="15">
        <f>Table2[[#This Row],[Ad Spend]]/Table2[[#This Row],[Conversions]]</f>
        <v>66.571428571428569</v>
      </c>
    </row>
    <row r="28" spans="1:10" x14ac:dyDescent="0.35">
      <c r="A28" s="16">
        <v>45318</v>
      </c>
      <c r="B28" s="8" t="s">
        <v>7</v>
      </c>
      <c r="C28" s="8">
        <v>143</v>
      </c>
      <c r="D28" s="8">
        <v>30</v>
      </c>
      <c r="E28" s="8">
        <v>1416</v>
      </c>
      <c r="F28" s="8">
        <v>0.21</v>
      </c>
      <c r="G28" s="9">
        <v>1500</v>
      </c>
      <c r="H28" s="15">
        <f t="shared" si="0"/>
        <v>1.0593220338983051</v>
      </c>
      <c r="I28" s="15">
        <f>Table2[[#This Row],[Ad Spend]]/Table2[[#This Row],[Leads]]</f>
        <v>9.9020979020979016</v>
      </c>
      <c r="J28" s="15">
        <f>Table2[[#This Row],[Ad Spend]]/Table2[[#This Row],[Conversions]]</f>
        <v>47.2</v>
      </c>
    </row>
    <row r="29" spans="1:10" x14ac:dyDescent="0.35">
      <c r="A29" s="17">
        <v>45319</v>
      </c>
      <c r="B29" s="10" t="s">
        <v>7</v>
      </c>
      <c r="C29" s="10">
        <v>115</v>
      </c>
      <c r="D29" s="10">
        <v>20</v>
      </c>
      <c r="E29" s="10">
        <v>813</v>
      </c>
      <c r="F29" s="10">
        <v>0.17</v>
      </c>
      <c r="G29" s="11">
        <v>1000</v>
      </c>
      <c r="H29" s="15">
        <f t="shared" si="0"/>
        <v>1.2300123001230012</v>
      </c>
      <c r="I29" s="15">
        <f>Table2[[#This Row],[Ad Spend]]/Table2[[#This Row],[Leads]]</f>
        <v>7.0695652173913039</v>
      </c>
      <c r="J29" s="15">
        <f>Table2[[#This Row],[Ad Spend]]/Table2[[#This Row],[Conversions]]</f>
        <v>40.65</v>
      </c>
    </row>
    <row r="30" spans="1:10" x14ac:dyDescent="0.35">
      <c r="A30" s="16">
        <v>45320</v>
      </c>
      <c r="B30" s="8" t="s">
        <v>7</v>
      </c>
      <c r="C30" s="8">
        <v>53</v>
      </c>
      <c r="D30" s="8">
        <v>36</v>
      </c>
      <c r="E30" s="8">
        <v>504</v>
      </c>
      <c r="F30" s="8">
        <v>0.68</v>
      </c>
      <c r="G30" s="9">
        <v>1800</v>
      </c>
      <c r="H30" s="15">
        <f t="shared" si="0"/>
        <v>3.5714285714285716</v>
      </c>
      <c r="I30" s="15">
        <f>Table2[[#This Row],[Ad Spend]]/Table2[[#This Row],[Leads]]</f>
        <v>9.5094339622641506</v>
      </c>
      <c r="J30" s="15">
        <f>Table2[[#This Row],[Ad Spend]]/Table2[[#This Row],[Conversions]]</f>
        <v>14</v>
      </c>
    </row>
    <row r="31" spans="1:10" x14ac:dyDescent="0.35">
      <c r="A31" s="17">
        <v>45321</v>
      </c>
      <c r="B31" s="10" t="s">
        <v>7</v>
      </c>
      <c r="C31" s="10">
        <v>46</v>
      </c>
      <c r="D31" s="10">
        <v>38</v>
      </c>
      <c r="E31" s="10">
        <v>538</v>
      </c>
      <c r="F31" s="10">
        <v>0.83</v>
      </c>
      <c r="G31" s="11">
        <v>1900</v>
      </c>
      <c r="H31" s="15">
        <f t="shared" si="0"/>
        <v>3.5315985130111525</v>
      </c>
      <c r="I31" s="15">
        <f>Table2[[#This Row],[Ad Spend]]/Table2[[#This Row],[Leads]]</f>
        <v>11.695652173913043</v>
      </c>
      <c r="J31" s="15">
        <f>Table2[[#This Row],[Ad Spend]]/Table2[[#This Row],[Conversions]]</f>
        <v>14.157894736842104</v>
      </c>
    </row>
    <row r="32" spans="1:10" x14ac:dyDescent="0.35">
      <c r="A32" s="16">
        <v>45322</v>
      </c>
      <c r="B32" s="8" t="s">
        <v>7</v>
      </c>
      <c r="C32" s="8">
        <v>107</v>
      </c>
      <c r="D32" s="8">
        <v>27</v>
      </c>
      <c r="E32" s="8">
        <v>1711</v>
      </c>
      <c r="F32" s="8">
        <v>0.25</v>
      </c>
      <c r="G32" s="9">
        <v>1350</v>
      </c>
      <c r="H32" s="15">
        <f t="shared" si="0"/>
        <v>0.78901227352425485</v>
      </c>
      <c r="I32" s="15">
        <f>Table2[[#This Row],[Ad Spend]]/Table2[[#This Row],[Leads]]</f>
        <v>15.990654205607477</v>
      </c>
      <c r="J32" s="15">
        <f>Table2[[#This Row],[Ad Spend]]/Table2[[#This Row],[Conversions]]</f>
        <v>63.370370370370374</v>
      </c>
    </row>
    <row r="33" spans="1:10" x14ac:dyDescent="0.35">
      <c r="A33" s="17">
        <v>45323</v>
      </c>
      <c r="B33" s="10" t="s">
        <v>7</v>
      </c>
      <c r="C33" s="10">
        <v>105</v>
      </c>
      <c r="D33" s="10">
        <v>10</v>
      </c>
      <c r="E33" s="10">
        <v>1550</v>
      </c>
      <c r="F33" s="10">
        <v>0.1</v>
      </c>
      <c r="G33" s="11">
        <v>500</v>
      </c>
      <c r="H33" s="15">
        <f t="shared" si="0"/>
        <v>0.32258064516129031</v>
      </c>
      <c r="I33" s="15">
        <f>Table2[[#This Row],[Ad Spend]]/Table2[[#This Row],[Leads]]</f>
        <v>14.761904761904763</v>
      </c>
      <c r="J33" s="15">
        <f>Table2[[#This Row],[Ad Spend]]/Table2[[#This Row],[Conversions]]</f>
        <v>155</v>
      </c>
    </row>
    <row r="34" spans="1:10" x14ac:dyDescent="0.35">
      <c r="A34" s="16">
        <v>45324</v>
      </c>
      <c r="B34" s="8" t="s">
        <v>7</v>
      </c>
      <c r="C34" s="8">
        <v>116</v>
      </c>
      <c r="D34" s="8">
        <v>8</v>
      </c>
      <c r="E34" s="8">
        <v>1082</v>
      </c>
      <c r="F34" s="8">
        <v>7.0000000000000007E-2</v>
      </c>
      <c r="G34" s="9">
        <v>400</v>
      </c>
      <c r="H34" s="15">
        <f t="shared" si="0"/>
        <v>0.36968576709796674</v>
      </c>
      <c r="I34" s="15">
        <f>Table2[[#This Row],[Ad Spend]]/Table2[[#This Row],[Leads]]</f>
        <v>9.3275862068965516</v>
      </c>
      <c r="J34" s="15">
        <f>Table2[[#This Row],[Ad Spend]]/Table2[[#This Row],[Conversions]]</f>
        <v>135.25</v>
      </c>
    </row>
    <row r="35" spans="1:10" x14ac:dyDescent="0.35">
      <c r="A35" s="17">
        <v>45325</v>
      </c>
      <c r="B35" s="10" t="s">
        <v>7</v>
      </c>
      <c r="C35" s="10">
        <v>62</v>
      </c>
      <c r="D35" s="10">
        <v>19</v>
      </c>
      <c r="E35" s="10">
        <v>295</v>
      </c>
      <c r="F35" s="10">
        <v>0.31</v>
      </c>
      <c r="G35" s="11">
        <v>950</v>
      </c>
      <c r="H35" s="15">
        <f t="shared" si="0"/>
        <v>3.2203389830508473</v>
      </c>
      <c r="I35" s="15">
        <f>Table2[[#This Row],[Ad Spend]]/Table2[[#This Row],[Leads]]</f>
        <v>4.758064516129032</v>
      </c>
      <c r="J35" s="15">
        <f>Table2[[#This Row],[Ad Spend]]/Table2[[#This Row],[Conversions]]</f>
        <v>15.526315789473685</v>
      </c>
    </row>
    <row r="36" spans="1:10" x14ac:dyDescent="0.35">
      <c r="A36" s="16">
        <v>45326</v>
      </c>
      <c r="B36" s="8" t="s">
        <v>7</v>
      </c>
      <c r="C36" s="8">
        <v>102</v>
      </c>
      <c r="D36" s="8">
        <v>35</v>
      </c>
      <c r="E36" s="8">
        <v>1825</v>
      </c>
      <c r="F36" s="8">
        <v>0.34</v>
      </c>
      <c r="G36" s="9">
        <v>1750</v>
      </c>
      <c r="H36" s="15">
        <f t="shared" si="0"/>
        <v>0.95890410958904104</v>
      </c>
      <c r="I36" s="15">
        <f>Table2[[#This Row],[Ad Spend]]/Table2[[#This Row],[Leads]]</f>
        <v>17.892156862745097</v>
      </c>
      <c r="J36" s="15">
        <f>Table2[[#This Row],[Ad Spend]]/Table2[[#This Row],[Conversions]]</f>
        <v>52.142857142857146</v>
      </c>
    </row>
    <row r="37" spans="1:10" x14ac:dyDescent="0.35">
      <c r="A37" s="17">
        <v>45327</v>
      </c>
      <c r="B37" s="10" t="s">
        <v>7</v>
      </c>
      <c r="C37" s="10">
        <v>62</v>
      </c>
      <c r="D37" s="10">
        <v>22</v>
      </c>
      <c r="E37" s="10">
        <v>1418</v>
      </c>
      <c r="F37" s="10">
        <v>0.35</v>
      </c>
      <c r="G37" s="11">
        <v>1100</v>
      </c>
      <c r="H37" s="15">
        <f t="shared" si="0"/>
        <v>0.7757404795486601</v>
      </c>
      <c r="I37" s="15">
        <f>Table2[[#This Row],[Ad Spend]]/Table2[[#This Row],[Leads]]</f>
        <v>22.870967741935484</v>
      </c>
      <c r="J37" s="15">
        <f>Table2[[#This Row],[Ad Spend]]/Table2[[#This Row],[Conversions]]</f>
        <v>64.454545454545453</v>
      </c>
    </row>
    <row r="38" spans="1:10" x14ac:dyDescent="0.35">
      <c r="A38" s="16">
        <v>45328</v>
      </c>
      <c r="B38" s="8" t="s">
        <v>7</v>
      </c>
      <c r="C38" s="8">
        <v>116</v>
      </c>
      <c r="D38" s="8">
        <v>17</v>
      </c>
      <c r="E38" s="8">
        <v>394</v>
      </c>
      <c r="F38" s="8">
        <v>0.15</v>
      </c>
      <c r="G38" s="9">
        <v>850</v>
      </c>
      <c r="H38" s="15">
        <f t="shared" si="0"/>
        <v>2.1573604060913705</v>
      </c>
      <c r="I38" s="15">
        <f>Table2[[#This Row],[Ad Spend]]/Table2[[#This Row],[Leads]]</f>
        <v>3.396551724137931</v>
      </c>
      <c r="J38" s="15">
        <f>Table2[[#This Row],[Ad Spend]]/Table2[[#This Row],[Conversions]]</f>
        <v>23.176470588235293</v>
      </c>
    </row>
    <row r="39" spans="1:10" x14ac:dyDescent="0.35">
      <c r="A39" s="17">
        <v>45329</v>
      </c>
      <c r="B39" s="10" t="s">
        <v>7</v>
      </c>
      <c r="C39" s="10">
        <v>106</v>
      </c>
      <c r="D39" s="10">
        <v>23</v>
      </c>
      <c r="E39" s="10">
        <v>1351</v>
      </c>
      <c r="F39" s="10">
        <v>0.22</v>
      </c>
      <c r="G39" s="11">
        <v>1150</v>
      </c>
      <c r="H39" s="15">
        <f t="shared" si="0"/>
        <v>0.85122131754256103</v>
      </c>
      <c r="I39" s="15">
        <f>Table2[[#This Row],[Ad Spend]]/Table2[[#This Row],[Leads]]</f>
        <v>12.745283018867925</v>
      </c>
      <c r="J39" s="15">
        <f>Table2[[#This Row],[Ad Spend]]/Table2[[#This Row],[Conversions]]</f>
        <v>58.739130434782609</v>
      </c>
    </row>
    <row r="40" spans="1:10" x14ac:dyDescent="0.35">
      <c r="A40" s="16">
        <v>45330</v>
      </c>
      <c r="B40" s="8" t="s">
        <v>7</v>
      </c>
      <c r="C40" s="8">
        <v>76</v>
      </c>
      <c r="D40" s="8">
        <v>26</v>
      </c>
      <c r="E40" s="8">
        <v>1105</v>
      </c>
      <c r="F40" s="8">
        <v>0.34</v>
      </c>
      <c r="G40" s="9">
        <v>1300</v>
      </c>
      <c r="H40" s="15">
        <f t="shared" si="0"/>
        <v>1.1764705882352942</v>
      </c>
      <c r="I40" s="15">
        <f>Table2[[#This Row],[Ad Spend]]/Table2[[#This Row],[Leads]]</f>
        <v>14.539473684210526</v>
      </c>
      <c r="J40" s="15">
        <f>Table2[[#This Row],[Ad Spend]]/Table2[[#This Row],[Conversions]]</f>
        <v>42.5</v>
      </c>
    </row>
    <row r="41" spans="1:10" x14ac:dyDescent="0.35">
      <c r="A41" s="17">
        <v>45331</v>
      </c>
      <c r="B41" s="10" t="s">
        <v>7</v>
      </c>
      <c r="C41" s="10">
        <v>120</v>
      </c>
      <c r="D41" s="10">
        <v>42</v>
      </c>
      <c r="E41" s="10">
        <v>540</v>
      </c>
      <c r="F41" s="10">
        <v>0.35</v>
      </c>
      <c r="G41" s="11">
        <v>2100</v>
      </c>
      <c r="H41" s="15">
        <f t="shared" si="0"/>
        <v>3.8888888888888888</v>
      </c>
      <c r="I41" s="15">
        <f>Table2[[#This Row],[Ad Spend]]/Table2[[#This Row],[Leads]]</f>
        <v>4.5</v>
      </c>
      <c r="J41" s="15">
        <f>Table2[[#This Row],[Ad Spend]]/Table2[[#This Row],[Conversions]]</f>
        <v>12.857142857142858</v>
      </c>
    </row>
    <row r="42" spans="1:10" x14ac:dyDescent="0.35">
      <c r="A42" s="16">
        <v>45332</v>
      </c>
      <c r="B42" s="8" t="s">
        <v>7</v>
      </c>
      <c r="C42" s="8">
        <v>118</v>
      </c>
      <c r="D42" s="8">
        <v>18</v>
      </c>
      <c r="E42" s="8">
        <v>1253</v>
      </c>
      <c r="F42" s="8">
        <v>0.15</v>
      </c>
      <c r="G42" s="9">
        <v>900</v>
      </c>
      <c r="H42" s="15">
        <f t="shared" si="0"/>
        <v>0.71827613727055073</v>
      </c>
      <c r="I42" s="15">
        <f>Table2[[#This Row],[Ad Spend]]/Table2[[#This Row],[Leads]]</f>
        <v>10.618644067796611</v>
      </c>
      <c r="J42" s="15">
        <f>Table2[[#This Row],[Ad Spend]]/Table2[[#This Row],[Conversions]]</f>
        <v>69.611111111111114</v>
      </c>
    </row>
    <row r="43" spans="1:10" x14ac:dyDescent="0.35">
      <c r="A43" s="17">
        <v>45333</v>
      </c>
      <c r="B43" s="10" t="s">
        <v>7</v>
      </c>
      <c r="C43" s="10">
        <v>52</v>
      </c>
      <c r="D43" s="10">
        <v>16</v>
      </c>
      <c r="E43" s="10">
        <v>640</v>
      </c>
      <c r="F43" s="10">
        <v>0.31</v>
      </c>
      <c r="G43" s="11">
        <v>800</v>
      </c>
      <c r="H43" s="15">
        <f t="shared" si="0"/>
        <v>1.25</v>
      </c>
      <c r="I43" s="15">
        <f>Table2[[#This Row],[Ad Spend]]/Table2[[#This Row],[Leads]]</f>
        <v>12.307692307692308</v>
      </c>
      <c r="J43" s="15">
        <f>Table2[[#This Row],[Ad Spend]]/Table2[[#This Row],[Conversions]]</f>
        <v>40</v>
      </c>
    </row>
    <row r="44" spans="1:10" x14ac:dyDescent="0.35">
      <c r="A44" s="16">
        <v>45334</v>
      </c>
      <c r="B44" s="8" t="s">
        <v>7</v>
      </c>
      <c r="C44" s="8">
        <v>73</v>
      </c>
      <c r="D44" s="8">
        <v>45</v>
      </c>
      <c r="E44" s="8">
        <v>717</v>
      </c>
      <c r="F44" s="8">
        <v>0.62</v>
      </c>
      <c r="G44" s="9">
        <v>2250</v>
      </c>
      <c r="H44" s="15">
        <f t="shared" si="0"/>
        <v>3.1380753138075312</v>
      </c>
      <c r="I44" s="15">
        <f>Table2[[#This Row],[Ad Spend]]/Table2[[#This Row],[Leads]]</f>
        <v>9.8219178082191778</v>
      </c>
      <c r="J44" s="15">
        <f>Table2[[#This Row],[Ad Spend]]/Table2[[#This Row],[Conversions]]</f>
        <v>15.933333333333334</v>
      </c>
    </row>
    <row r="45" spans="1:10" x14ac:dyDescent="0.35">
      <c r="A45" s="17">
        <v>45335</v>
      </c>
      <c r="B45" s="10" t="s">
        <v>7</v>
      </c>
      <c r="C45" s="10">
        <v>32</v>
      </c>
      <c r="D45" s="10">
        <v>48</v>
      </c>
      <c r="E45" s="10">
        <v>508</v>
      </c>
      <c r="F45" s="10">
        <v>1.5</v>
      </c>
      <c r="G45" s="11">
        <v>2400</v>
      </c>
      <c r="H45" s="15">
        <f t="shared" si="0"/>
        <v>4.7244094488188972</v>
      </c>
      <c r="I45" s="15">
        <f>Table2[[#This Row],[Ad Spend]]/Table2[[#This Row],[Leads]]</f>
        <v>15.875</v>
      </c>
      <c r="J45" s="15">
        <f>Table2[[#This Row],[Ad Spend]]/Table2[[#This Row],[Conversions]]</f>
        <v>10.583333333333334</v>
      </c>
    </row>
    <row r="46" spans="1:10" x14ac:dyDescent="0.35">
      <c r="A46" s="16">
        <v>45336</v>
      </c>
      <c r="B46" s="8" t="s">
        <v>7</v>
      </c>
      <c r="C46" s="8">
        <v>45</v>
      </c>
      <c r="D46" s="8">
        <v>8</v>
      </c>
      <c r="E46" s="8">
        <v>571</v>
      </c>
      <c r="F46" s="8">
        <v>0.18</v>
      </c>
      <c r="G46" s="9">
        <v>400</v>
      </c>
      <c r="H46" s="15">
        <f t="shared" si="0"/>
        <v>0.70052539404553416</v>
      </c>
      <c r="I46" s="15">
        <f>Table2[[#This Row],[Ad Spend]]/Table2[[#This Row],[Leads]]</f>
        <v>12.688888888888888</v>
      </c>
      <c r="J46" s="15">
        <f>Table2[[#This Row],[Ad Spend]]/Table2[[#This Row],[Conversions]]</f>
        <v>71.375</v>
      </c>
    </row>
    <row r="47" spans="1:10" x14ac:dyDescent="0.35">
      <c r="A47" s="17">
        <v>45337</v>
      </c>
      <c r="B47" s="10" t="s">
        <v>7</v>
      </c>
      <c r="C47" s="10">
        <v>32</v>
      </c>
      <c r="D47" s="10">
        <v>36</v>
      </c>
      <c r="E47" s="10">
        <v>526</v>
      </c>
      <c r="F47" s="10">
        <v>1.1200000000000001</v>
      </c>
      <c r="G47" s="11">
        <v>1800</v>
      </c>
      <c r="H47" s="15">
        <f t="shared" si="0"/>
        <v>3.4220532319391634</v>
      </c>
      <c r="I47" s="15">
        <f>Table2[[#This Row],[Ad Spend]]/Table2[[#This Row],[Leads]]</f>
        <v>16.4375</v>
      </c>
      <c r="J47" s="15">
        <f>Table2[[#This Row],[Ad Spend]]/Table2[[#This Row],[Conversions]]</f>
        <v>14.611111111111111</v>
      </c>
    </row>
    <row r="48" spans="1:10" x14ac:dyDescent="0.35">
      <c r="A48" s="16">
        <v>45338</v>
      </c>
      <c r="B48" s="8" t="s">
        <v>7</v>
      </c>
      <c r="C48" s="8">
        <v>86</v>
      </c>
      <c r="D48" s="8">
        <v>35</v>
      </c>
      <c r="E48" s="8">
        <v>1021</v>
      </c>
      <c r="F48" s="8">
        <v>0.41</v>
      </c>
      <c r="G48" s="9">
        <v>1750</v>
      </c>
      <c r="H48" s="15">
        <f t="shared" si="0"/>
        <v>1.7140058765915769</v>
      </c>
      <c r="I48" s="15">
        <f>Table2[[#This Row],[Ad Spend]]/Table2[[#This Row],[Leads]]</f>
        <v>11.872093023255815</v>
      </c>
      <c r="J48" s="15">
        <f>Table2[[#This Row],[Ad Spend]]/Table2[[#This Row],[Conversions]]</f>
        <v>29.171428571428571</v>
      </c>
    </row>
    <row r="49" spans="1:10" x14ac:dyDescent="0.35">
      <c r="A49" s="17">
        <v>45339</v>
      </c>
      <c r="B49" s="10" t="s">
        <v>7</v>
      </c>
      <c r="C49" s="10">
        <v>42</v>
      </c>
      <c r="D49" s="10">
        <v>19</v>
      </c>
      <c r="E49" s="10">
        <v>158</v>
      </c>
      <c r="F49" s="10">
        <v>0.45</v>
      </c>
      <c r="G49" s="11">
        <v>950</v>
      </c>
      <c r="H49" s="15">
        <f t="shared" si="0"/>
        <v>6.0126582278481013</v>
      </c>
      <c r="I49" s="15">
        <f>Table2[[#This Row],[Ad Spend]]/Table2[[#This Row],[Leads]]</f>
        <v>3.7619047619047619</v>
      </c>
      <c r="J49" s="15">
        <f>Table2[[#This Row],[Ad Spend]]/Table2[[#This Row],[Conversions]]</f>
        <v>8.3157894736842106</v>
      </c>
    </row>
    <row r="50" spans="1:10" x14ac:dyDescent="0.35">
      <c r="A50" s="16">
        <v>45340</v>
      </c>
      <c r="B50" s="8" t="s">
        <v>7</v>
      </c>
      <c r="C50" s="8">
        <v>126</v>
      </c>
      <c r="D50" s="8">
        <v>12</v>
      </c>
      <c r="E50" s="8">
        <v>1608</v>
      </c>
      <c r="F50" s="8">
        <v>0.1</v>
      </c>
      <c r="G50" s="9">
        <v>600</v>
      </c>
      <c r="H50" s="15">
        <f t="shared" si="0"/>
        <v>0.37313432835820898</v>
      </c>
      <c r="I50" s="15">
        <f>Table2[[#This Row],[Ad Spend]]/Table2[[#This Row],[Leads]]</f>
        <v>12.761904761904763</v>
      </c>
      <c r="J50" s="15">
        <f>Table2[[#This Row],[Ad Spend]]/Table2[[#This Row],[Conversions]]</f>
        <v>134</v>
      </c>
    </row>
    <row r="51" spans="1:10" x14ac:dyDescent="0.35">
      <c r="A51" s="17">
        <v>45341</v>
      </c>
      <c r="B51" s="10" t="s">
        <v>7</v>
      </c>
      <c r="C51" s="10">
        <v>102</v>
      </c>
      <c r="D51" s="10">
        <v>35</v>
      </c>
      <c r="E51" s="10">
        <v>1610</v>
      </c>
      <c r="F51" s="10">
        <v>0.34</v>
      </c>
      <c r="G51" s="11">
        <v>1750</v>
      </c>
      <c r="H51" s="15">
        <f t="shared" si="0"/>
        <v>1.0869565217391304</v>
      </c>
      <c r="I51" s="15">
        <f>Table2[[#This Row],[Ad Spend]]/Table2[[#This Row],[Leads]]</f>
        <v>15.784313725490197</v>
      </c>
      <c r="J51" s="15">
        <f>Table2[[#This Row],[Ad Spend]]/Table2[[#This Row],[Conversions]]</f>
        <v>46</v>
      </c>
    </row>
    <row r="52" spans="1:10" x14ac:dyDescent="0.35">
      <c r="A52" s="16">
        <v>45342</v>
      </c>
      <c r="B52" s="8" t="s">
        <v>7</v>
      </c>
      <c r="C52" s="8">
        <v>30</v>
      </c>
      <c r="D52" s="8">
        <v>16</v>
      </c>
      <c r="E52" s="8">
        <v>382</v>
      </c>
      <c r="F52" s="8">
        <v>0.53</v>
      </c>
      <c r="G52" s="9">
        <v>800</v>
      </c>
      <c r="H52" s="15">
        <f t="shared" si="0"/>
        <v>2.0942408376963351</v>
      </c>
      <c r="I52" s="15">
        <f>Table2[[#This Row],[Ad Spend]]/Table2[[#This Row],[Leads]]</f>
        <v>12.733333333333333</v>
      </c>
      <c r="J52" s="15">
        <f>Table2[[#This Row],[Ad Spend]]/Table2[[#This Row],[Conversions]]</f>
        <v>23.875</v>
      </c>
    </row>
    <row r="53" spans="1:10" x14ac:dyDescent="0.35">
      <c r="A53" s="17">
        <v>45343</v>
      </c>
      <c r="B53" s="10" t="s">
        <v>7</v>
      </c>
      <c r="C53" s="10">
        <v>82</v>
      </c>
      <c r="D53" s="10">
        <v>6</v>
      </c>
      <c r="E53" s="10">
        <v>1645</v>
      </c>
      <c r="F53" s="10">
        <v>7.0000000000000007E-2</v>
      </c>
      <c r="G53" s="11">
        <v>300</v>
      </c>
      <c r="H53" s="15">
        <f t="shared" si="0"/>
        <v>0.18237082066869301</v>
      </c>
      <c r="I53" s="15">
        <f>Table2[[#This Row],[Ad Spend]]/Table2[[#This Row],[Leads]]</f>
        <v>20.060975609756099</v>
      </c>
      <c r="J53" s="15">
        <f>Table2[[#This Row],[Ad Spend]]/Table2[[#This Row],[Conversions]]</f>
        <v>274.16666666666669</v>
      </c>
    </row>
    <row r="54" spans="1:10" x14ac:dyDescent="0.35">
      <c r="A54" s="16">
        <v>45344</v>
      </c>
      <c r="B54" s="8" t="s">
        <v>7</v>
      </c>
      <c r="C54" s="8">
        <v>120</v>
      </c>
      <c r="D54" s="8">
        <v>6</v>
      </c>
      <c r="E54" s="8">
        <v>1354</v>
      </c>
      <c r="F54" s="8">
        <v>0.05</v>
      </c>
      <c r="G54" s="9">
        <v>300</v>
      </c>
      <c r="H54" s="15">
        <f t="shared" si="0"/>
        <v>0.22156573116691286</v>
      </c>
      <c r="I54" s="15">
        <f>Table2[[#This Row],[Ad Spend]]/Table2[[#This Row],[Leads]]</f>
        <v>11.283333333333333</v>
      </c>
      <c r="J54" s="15">
        <f>Table2[[#This Row],[Ad Spend]]/Table2[[#This Row],[Conversions]]</f>
        <v>225.66666666666666</v>
      </c>
    </row>
    <row r="55" spans="1:10" x14ac:dyDescent="0.35">
      <c r="A55" s="17">
        <v>45345</v>
      </c>
      <c r="B55" s="10" t="s">
        <v>7</v>
      </c>
      <c r="C55" s="10">
        <v>57</v>
      </c>
      <c r="D55" s="10">
        <v>45</v>
      </c>
      <c r="E55" s="10">
        <v>1420</v>
      </c>
      <c r="F55" s="10">
        <v>0.79</v>
      </c>
      <c r="G55" s="11">
        <v>2250</v>
      </c>
      <c r="H55" s="15">
        <f t="shared" si="0"/>
        <v>1.5845070422535212</v>
      </c>
      <c r="I55" s="15">
        <f>Table2[[#This Row],[Ad Spend]]/Table2[[#This Row],[Leads]]</f>
        <v>24.912280701754387</v>
      </c>
      <c r="J55" s="15">
        <f>Table2[[#This Row],[Ad Spend]]/Table2[[#This Row],[Conversions]]</f>
        <v>31.555555555555557</v>
      </c>
    </row>
    <row r="56" spans="1:10" x14ac:dyDescent="0.35">
      <c r="A56" s="16">
        <v>45346</v>
      </c>
      <c r="B56" s="8" t="s">
        <v>7</v>
      </c>
      <c r="C56" s="8">
        <v>58</v>
      </c>
      <c r="D56" s="8">
        <v>7</v>
      </c>
      <c r="E56" s="8">
        <v>669</v>
      </c>
      <c r="F56" s="8">
        <v>0.12</v>
      </c>
      <c r="G56" s="9">
        <v>350</v>
      </c>
      <c r="H56" s="15">
        <f t="shared" si="0"/>
        <v>0.52316890881913303</v>
      </c>
      <c r="I56" s="15">
        <f>Table2[[#This Row],[Ad Spend]]/Table2[[#This Row],[Leads]]</f>
        <v>11.53448275862069</v>
      </c>
      <c r="J56" s="15">
        <f>Table2[[#This Row],[Ad Spend]]/Table2[[#This Row],[Conversions]]</f>
        <v>95.571428571428569</v>
      </c>
    </row>
    <row r="57" spans="1:10" x14ac:dyDescent="0.35">
      <c r="A57" s="17">
        <v>45347</v>
      </c>
      <c r="B57" s="10" t="s">
        <v>7</v>
      </c>
      <c r="C57" s="10">
        <v>123</v>
      </c>
      <c r="D57" s="10">
        <v>43</v>
      </c>
      <c r="E57" s="10">
        <v>1006</v>
      </c>
      <c r="F57" s="10">
        <v>0.35</v>
      </c>
      <c r="G57" s="11">
        <v>2150</v>
      </c>
      <c r="H57" s="15">
        <f t="shared" si="0"/>
        <v>2.1371769383697812</v>
      </c>
      <c r="I57" s="15">
        <f>Table2[[#This Row],[Ad Spend]]/Table2[[#This Row],[Leads]]</f>
        <v>8.1788617886178869</v>
      </c>
      <c r="J57" s="15">
        <f>Table2[[#This Row],[Ad Spend]]/Table2[[#This Row],[Conversions]]</f>
        <v>23.395348837209301</v>
      </c>
    </row>
    <row r="58" spans="1:10" x14ac:dyDescent="0.35">
      <c r="A58" s="16">
        <v>45348</v>
      </c>
      <c r="B58" s="8" t="s">
        <v>7</v>
      </c>
      <c r="C58" s="8">
        <v>71</v>
      </c>
      <c r="D58" s="8">
        <v>34</v>
      </c>
      <c r="E58" s="8">
        <v>1782</v>
      </c>
      <c r="F58" s="8">
        <v>0.48</v>
      </c>
      <c r="G58" s="9">
        <v>1700</v>
      </c>
      <c r="H58" s="15">
        <f t="shared" si="0"/>
        <v>0.95398428731762064</v>
      </c>
      <c r="I58" s="15">
        <f>Table2[[#This Row],[Ad Spend]]/Table2[[#This Row],[Leads]]</f>
        <v>25.098591549295776</v>
      </c>
      <c r="J58" s="15">
        <f>Table2[[#This Row],[Ad Spend]]/Table2[[#This Row],[Conversions]]</f>
        <v>52.411764705882355</v>
      </c>
    </row>
    <row r="59" spans="1:10" x14ac:dyDescent="0.35">
      <c r="A59" s="17">
        <v>45349</v>
      </c>
      <c r="B59" s="10" t="s">
        <v>7</v>
      </c>
      <c r="C59" s="10">
        <v>137</v>
      </c>
      <c r="D59" s="10">
        <v>14</v>
      </c>
      <c r="E59" s="10">
        <v>276</v>
      </c>
      <c r="F59" s="10">
        <v>0.1</v>
      </c>
      <c r="G59" s="11">
        <v>700</v>
      </c>
      <c r="H59" s="15">
        <f t="shared" si="0"/>
        <v>2.5362318840579712</v>
      </c>
      <c r="I59" s="15">
        <f>Table2[[#This Row],[Ad Spend]]/Table2[[#This Row],[Leads]]</f>
        <v>2.0145985401459856</v>
      </c>
      <c r="J59" s="15">
        <f>Table2[[#This Row],[Ad Spend]]/Table2[[#This Row],[Conversions]]</f>
        <v>19.714285714285715</v>
      </c>
    </row>
    <row r="60" spans="1:10" x14ac:dyDescent="0.35">
      <c r="A60" s="16">
        <v>45350</v>
      </c>
      <c r="B60" s="8" t="s">
        <v>7</v>
      </c>
      <c r="C60" s="8">
        <v>91</v>
      </c>
      <c r="D60" s="8">
        <v>13</v>
      </c>
      <c r="E60" s="8">
        <v>1822</v>
      </c>
      <c r="F60" s="8">
        <v>0.14000000000000001</v>
      </c>
      <c r="G60" s="9">
        <v>650</v>
      </c>
      <c r="H60" s="15">
        <f t="shared" si="0"/>
        <v>0.35675082327113061</v>
      </c>
      <c r="I60" s="15">
        <f>Table2[[#This Row],[Ad Spend]]/Table2[[#This Row],[Leads]]</f>
        <v>20.021978021978022</v>
      </c>
      <c r="J60" s="15">
        <f>Table2[[#This Row],[Ad Spend]]/Table2[[#This Row],[Conversions]]</f>
        <v>140.15384615384616</v>
      </c>
    </row>
    <row r="61" spans="1:10" x14ac:dyDescent="0.35">
      <c r="A61" s="17">
        <v>45351</v>
      </c>
      <c r="B61" s="10" t="s">
        <v>7</v>
      </c>
      <c r="C61" s="10">
        <v>43</v>
      </c>
      <c r="D61" s="10">
        <v>49</v>
      </c>
      <c r="E61" s="10">
        <v>1936</v>
      </c>
      <c r="F61" s="10">
        <v>1.1399999999999999</v>
      </c>
      <c r="G61" s="11">
        <v>2450</v>
      </c>
      <c r="H61" s="15">
        <f t="shared" si="0"/>
        <v>1.265495867768595</v>
      </c>
      <c r="I61" s="15">
        <f>Table2[[#This Row],[Ad Spend]]/Table2[[#This Row],[Leads]]</f>
        <v>45.02325581395349</v>
      </c>
      <c r="J61" s="15">
        <f>Table2[[#This Row],[Ad Spend]]/Table2[[#This Row],[Conversions]]</f>
        <v>39.510204081632651</v>
      </c>
    </row>
    <row r="62" spans="1:10" x14ac:dyDescent="0.35">
      <c r="A62" s="16">
        <v>45352</v>
      </c>
      <c r="B62" s="8" t="s">
        <v>7</v>
      </c>
      <c r="C62" s="8">
        <v>123</v>
      </c>
      <c r="D62" s="8">
        <v>10</v>
      </c>
      <c r="E62" s="8">
        <v>1933</v>
      </c>
      <c r="F62" s="8">
        <v>0.08</v>
      </c>
      <c r="G62" s="9">
        <v>500</v>
      </c>
      <c r="H62" s="15">
        <f t="shared" si="0"/>
        <v>0.2586652871184687</v>
      </c>
      <c r="I62" s="15">
        <f>Table2[[#This Row],[Ad Spend]]/Table2[[#This Row],[Leads]]</f>
        <v>15.715447154471544</v>
      </c>
      <c r="J62" s="15">
        <f>Table2[[#This Row],[Ad Spend]]/Table2[[#This Row],[Conversions]]</f>
        <v>193.3</v>
      </c>
    </row>
    <row r="63" spans="1:10" x14ac:dyDescent="0.35">
      <c r="A63" s="17">
        <v>45353</v>
      </c>
      <c r="B63" s="10" t="s">
        <v>7</v>
      </c>
      <c r="C63" s="10">
        <v>125</v>
      </c>
      <c r="D63" s="10">
        <v>33</v>
      </c>
      <c r="E63" s="10">
        <v>1061</v>
      </c>
      <c r="F63" s="10">
        <v>0.26</v>
      </c>
      <c r="G63" s="11">
        <v>1650</v>
      </c>
      <c r="H63" s="15">
        <f t="shared" si="0"/>
        <v>1.5551366635249764</v>
      </c>
      <c r="I63" s="15">
        <f>Table2[[#This Row],[Ad Spend]]/Table2[[#This Row],[Leads]]</f>
        <v>8.4879999999999995</v>
      </c>
      <c r="J63" s="15">
        <f>Table2[[#This Row],[Ad Spend]]/Table2[[#This Row],[Conversions]]</f>
        <v>32.151515151515149</v>
      </c>
    </row>
    <row r="64" spans="1:10" x14ac:dyDescent="0.35">
      <c r="A64" s="16">
        <v>45354</v>
      </c>
      <c r="B64" s="8" t="s">
        <v>7</v>
      </c>
      <c r="C64" s="8">
        <v>102</v>
      </c>
      <c r="D64" s="8">
        <v>19</v>
      </c>
      <c r="E64" s="8">
        <v>332</v>
      </c>
      <c r="F64" s="8">
        <v>0.19</v>
      </c>
      <c r="G64" s="9">
        <v>950</v>
      </c>
      <c r="H64" s="15">
        <f t="shared" si="0"/>
        <v>2.8614457831325302</v>
      </c>
      <c r="I64" s="15">
        <f>Table2[[#This Row],[Ad Spend]]/Table2[[#This Row],[Leads]]</f>
        <v>3.2549019607843137</v>
      </c>
      <c r="J64" s="15">
        <f>Table2[[#This Row],[Ad Spend]]/Table2[[#This Row],[Conversions]]</f>
        <v>17.473684210526315</v>
      </c>
    </row>
    <row r="65" spans="1:10" x14ac:dyDescent="0.35">
      <c r="A65" s="17">
        <v>45355</v>
      </c>
      <c r="B65" s="10" t="s">
        <v>7</v>
      </c>
      <c r="C65" s="10">
        <v>33</v>
      </c>
      <c r="D65" s="10">
        <v>18</v>
      </c>
      <c r="E65" s="10">
        <v>944</v>
      </c>
      <c r="F65" s="10">
        <v>0.55000000000000004</v>
      </c>
      <c r="G65" s="11">
        <v>900</v>
      </c>
      <c r="H65" s="15">
        <f t="shared" si="0"/>
        <v>0.95338983050847459</v>
      </c>
      <c r="I65" s="15">
        <f>Table2[[#This Row],[Ad Spend]]/Table2[[#This Row],[Leads]]</f>
        <v>28.606060606060606</v>
      </c>
      <c r="J65" s="15">
        <f>Table2[[#This Row],[Ad Spend]]/Table2[[#This Row],[Conversions]]</f>
        <v>52.444444444444443</v>
      </c>
    </row>
    <row r="66" spans="1:10" x14ac:dyDescent="0.35">
      <c r="A66" s="16">
        <v>45356</v>
      </c>
      <c r="B66" s="8" t="s">
        <v>7</v>
      </c>
      <c r="C66" s="8">
        <v>112</v>
      </c>
      <c r="D66" s="8">
        <v>27</v>
      </c>
      <c r="E66" s="8">
        <v>394</v>
      </c>
      <c r="F66" s="8">
        <v>0.24</v>
      </c>
      <c r="G66" s="9">
        <v>1350</v>
      </c>
      <c r="H66" s="15">
        <f t="shared" si="0"/>
        <v>3.4263959390862944</v>
      </c>
      <c r="I66" s="15">
        <f>Table2[[#This Row],[Ad Spend]]/Table2[[#This Row],[Leads]]</f>
        <v>3.5178571428571428</v>
      </c>
      <c r="J66" s="15">
        <f>Table2[[#This Row],[Ad Spend]]/Table2[[#This Row],[Conversions]]</f>
        <v>14.592592592592593</v>
      </c>
    </row>
    <row r="67" spans="1:10" x14ac:dyDescent="0.35">
      <c r="A67" s="17">
        <v>45357</v>
      </c>
      <c r="B67" s="10" t="s">
        <v>7</v>
      </c>
      <c r="C67" s="10">
        <v>20</v>
      </c>
      <c r="D67" s="10">
        <v>30</v>
      </c>
      <c r="E67" s="10">
        <v>714</v>
      </c>
      <c r="F67" s="10">
        <v>1.5</v>
      </c>
      <c r="G67" s="11">
        <v>1500</v>
      </c>
      <c r="H67" s="15">
        <f t="shared" ref="H67:H130" si="1">G67/E67</f>
        <v>2.1008403361344539</v>
      </c>
      <c r="I67" s="15">
        <f>Table2[[#This Row],[Ad Spend]]/Table2[[#This Row],[Leads]]</f>
        <v>35.700000000000003</v>
      </c>
      <c r="J67" s="15">
        <f>Table2[[#This Row],[Ad Spend]]/Table2[[#This Row],[Conversions]]</f>
        <v>23.8</v>
      </c>
    </row>
    <row r="68" spans="1:10" x14ac:dyDescent="0.35">
      <c r="A68" s="16">
        <v>45358</v>
      </c>
      <c r="B68" s="8" t="s">
        <v>7</v>
      </c>
      <c r="C68" s="8">
        <v>46</v>
      </c>
      <c r="D68" s="8">
        <v>43</v>
      </c>
      <c r="E68" s="8">
        <v>1108</v>
      </c>
      <c r="F68" s="8">
        <v>0.93</v>
      </c>
      <c r="G68" s="9">
        <v>2150</v>
      </c>
      <c r="H68" s="15">
        <f t="shared" si="1"/>
        <v>1.9404332129963899</v>
      </c>
      <c r="I68" s="15">
        <f>Table2[[#This Row],[Ad Spend]]/Table2[[#This Row],[Leads]]</f>
        <v>24.086956521739129</v>
      </c>
      <c r="J68" s="15">
        <f>Table2[[#This Row],[Ad Spend]]/Table2[[#This Row],[Conversions]]</f>
        <v>25.767441860465116</v>
      </c>
    </row>
    <row r="69" spans="1:10" x14ac:dyDescent="0.35">
      <c r="A69" s="17">
        <v>45359</v>
      </c>
      <c r="B69" s="10" t="s">
        <v>7</v>
      </c>
      <c r="C69" s="10">
        <v>142</v>
      </c>
      <c r="D69" s="10">
        <v>47</v>
      </c>
      <c r="E69" s="10">
        <v>1212</v>
      </c>
      <c r="F69" s="10">
        <v>0.33</v>
      </c>
      <c r="G69" s="11">
        <v>2350</v>
      </c>
      <c r="H69" s="15">
        <f t="shared" si="1"/>
        <v>1.938943894389439</v>
      </c>
      <c r="I69" s="15">
        <f>Table2[[#This Row],[Ad Spend]]/Table2[[#This Row],[Leads]]</f>
        <v>8.535211267605634</v>
      </c>
      <c r="J69" s="15">
        <f>Table2[[#This Row],[Ad Spend]]/Table2[[#This Row],[Conversions]]</f>
        <v>25.787234042553191</v>
      </c>
    </row>
    <row r="70" spans="1:10" x14ac:dyDescent="0.35">
      <c r="A70" s="16">
        <v>45360</v>
      </c>
      <c r="B70" s="8" t="s">
        <v>7</v>
      </c>
      <c r="C70" s="8">
        <v>116</v>
      </c>
      <c r="D70" s="8">
        <v>40</v>
      </c>
      <c r="E70" s="8">
        <v>1427</v>
      </c>
      <c r="F70" s="8">
        <v>0.34</v>
      </c>
      <c r="G70" s="9">
        <v>2000</v>
      </c>
      <c r="H70" s="15">
        <f t="shared" si="1"/>
        <v>1.4015416958654521</v>
      </c>
      <c r="I70" s="15">
        <f>Table2[[#This Row],[Ad Spend]]/Table2[[#This Row],[Leads]]</f>
        <v>12.301724137931034</v>
      </c>
      <c r="J70" s="15">
        <f>Table2[[#This Row],[Ad Spend]]/Table2[[#This Row],[Conversions]]</f>
        <v>35.674999999999997</v>
      </c>
    </row>
    <row r="71" spans="1:10" x14ac:dyDescent="0.35">
      <c r="A71" s="17">
        <v>45361</v>
      </c>
      <c r="B71" s="10" t="s">
        <v>7</v>
      </c>
      <c r="C71" s="10">
        <v>104</v>
      </c>
      <c r="D71" s="10">
        <v>13</v>
      </c>
      <c r="E71" s="10">
        <v>1858</v>
      </c>
      <c r="F71" s="10">
        <v>0.12</v>
      </c>
      <c r="G71" s="11">
        <v>650</v>
      </c>
      <c r="H71" s="15">
        <f t="shared" si="1"/>
        <v>0.34983853606027987</v>
      </c>
      <c r="I71" s="15">
        <f>Table2[[#This Row],[Ad Spend]]/Table2[[#This Row],[Leads]]</f>
        <v>17.865384615384617</v>
      </c>
      <c r="J71" s="15">
        <f>Table2[[#This Row],[Ad Spend]]/Table2[[#This Row],[Conversions]]</f>
        <v>142.92307692307693</v>
      </c>
    </row>
    <row r="72" spans="1:10" x14ac:dyDescent="0.35">
      <c r="A72" s="16">
        <v>45362</v>
      </c>
      <c r="B72" s="8" t="s">
        <v>7</v>
      </c>
      <c r="C72" s="8">
        <v>141</v>
      </c>
      <c r="D72" s="8">
        <v>36</v>
      </c>
      <c r="E72" s="8">
        <v>727</v>
      </c>
      <c r="F72" s="8">
        <v>0.26</v>
      </c>
      <c r="G72" s="9">
        <v>1800</v>
      </c>
      <c r="H72" s="15">
        <f t="shared" si="1"/>
        <v>2.4759284731774414</v>
      </c>
      <c r="I72" s="15">
        <f>Table2[[#This Row],[Ad Spend]]/Table2[[#This Row],[Leads]]</f>
        <v>5.1560283687943258</v>
      </c>
      <c r="J72" s="15">
        <f>Table2[[#This Row],[Ad Spend]]/Table2[[#This Row],[Conversions]]</f>
        <v>20.194444444444443</v>
      </c>
    </row>
    <row r="73" spans="1:10" x14ac:dyDescent="0.35">
      <c r="A73" s="17">
        <v>45363</v>
      </c>
      <c r="B73" s="10" t="s">
        <v>7</v>
      </c>
      <c r="C73" s="10">
        <v>113</v>
      </c>
      <c r="D73" s="10">
        <v>21</v>
      </c>
      <c r="E73" s="10">
        <v>1236</v>
      </c>
      <c r="F73" s="10">
        <v>0.19</v>
      </c>
      <c r="G73" s="11">
        <v>1050</v>
      </c>
      <c r="H73" s="15">
        <f t="shared" si="1"/>
        <v>0.84951456310679607</v>
      </c>
      <c r="I73" s="15">
        <f>Table2[[#This Row],[Ad Spend]]/Table2[[#This Row],[Leads]]</f>
        <v>10.938053097345133</v>
      </c>
      <c r="J73" s="15">
        <f>Table2[[#This Row],[Ad Spend]]/Table2[[#This Row],[Conversions]]</f>
        <v>58.857142857142854</v>
      </c>
    </row>
    <row r="74" spans="1:10" x14ac:dyDescent="0.35">
      <c r="A74" s="16">
        <v>45364</v>
      </c>
      <c r="B74" s="8" t="s">
        <v>7</v>
      </c>
      <c r="C74" s="8">
        <v>131</v>
      </c>
      <c r="D74" s="8">
        <v>17</v>
      </c>
      <c r="E74" s="8">
        <v>559</v>
      </c>
      <c r="F74" s="8">
        <v>0.13</v>
      </c>
      <c r="G74" s="9">
        <v>850</v>
      </c>
      <c r="H74" s="15">
        <f t="shared" si="1"/>
        <v>1.5205724508050089</v>
      </c>
      <c r="I74" s="15">
        <f>Table2[[#This Row],[Ad Spend]]/Table2[[#This Row],[Leads]]</f>
        <v>4.2671755725190836</v>
      </c>
      <c r="J74" s="15">
        <f>Table2[[#This Row],[Ad Spend]]/Table2[[#This Row],[Conversions]]</f>
        <v>32.882352941176471</v>
      </c>
    </row>
    <row r="75" spans="1:10" x14ac:dyDescent="0.35">
      <c r="A75" s="17">
        <v>45365</v>
      </c>
      <c r="B75" s="10" t="s">
        <v>7</v>
      </c>
      <c r="C75" s="10">
        <v>135</v>
      </c>
      <c r="D75" s="10">
        <v>39</v>
      </c>
      <c r="E75" s="10">
        <v>524</v>
      </c>
      <c r="F75" s="10">
        <v>0.28999999999999998</v>
      </c>
      <c r="G75" s="11">
        <v>1950</v>
      </c>
      <c r="H75" s="15">
        <f t="shared" si="1"/>
        <v>3.7213740458015265</v>
      </c>
      <c r="I75" s="15">
        <f>Table2[[#This Row],[Ad Spend]]/Table2[[#This Row],[Leads]]</f>
        <v>3.8814814814814813</v>
      </c>
      <c r="J75" s="15">
        <f>Table2[[#This Row],[Ad Spend]]/Table2[[#This Row],[Conversions]]</f>
        <v>13.435897435897436</v>
      </c>
    </row>
    <row r="76" spans="1:10" x14ac:dyDescent="0.35">
      <c r="A76" s="16">
        <v>45366</v>
      </c>
      <c r="B76" s="8" t="s">
        <v>7</v>
      </c>
      <c r="C76" s="8">
        <v>35</v>
      </c>
      <c r="D76" s="8">
        <v>7</v>
      </c>
      <c r="E76" s="8">
        <v>1426</v>
      </c>
      <c r="F76" s="8">
        <v>0.2</v>
      </c>
      <c r="G76" s="9">
        <v>350</v>
      </c>
      <c r="H76" s="15">
        <f t="shared" si="1"/>
        <v>0.24544179523141654</v>
      </c>
      <c r="I76" s="15">
        <f>Table2[[#This Row],[Ad Spend]]/Table2[[#This Row],[Leads]]</f>
        <v>40.74285714285714</v>
      </c>
      <c r="J76" s="15">
        <f>Table2[[#This Row],[Ad Spend]]/Table2[[#This Row],[Conversions]]</f>
        <v>203.71428571428572</v>
      </c>
    </row>
    <row r="77" spans="1:10" x14ac:dyDescent="0.35">
      <c r="A77" s="17">
        <v>45367</v>
      </c>
      <c r="B77" s="10" t="s">
        <v>7</v>
      </c>
      <c r="C77" s="10">
        <v>133</v>
      </c>
      <c r="D77" s="10">
        <v>42</v>
      </c>
      <c r="E77" s="10">
        <v>1454</v>
      </c>
      <c r="F77" s="10">
        <v>0.32</v>
      </c>
      <c r="G77" s="11">
        <v>2100</v>
      </c>
      <c r="H77" s="15">
        <f t="shared" si="1"/>
        <v>1.4442916093535076</v>
      </c>
      <c r="I77" s="15">
        <f>Table2[[#This Row],[Ad Spend]]/Table2[[#This Row],[Leads]]</f>
        <v>10.93233082706767</v>
      </c>
      <c r="J77" s="15">
        <f>Table2[[#This Row],[Ad Spend]]/Table2[[#This Row],[Conversions]]</f>
        <v>34.61904761904762</v>
      </c>
    </row>
    <row r="78" spans="1:10" x14ac:dyDescent="0.35">
      <c r="A78" s="16">
        <v>45368</v>
      </c>
      <c r="B78" s="8" t="s">
        <v>7</v>
      </c>
      <c r="C78" s="8">
        <v>149</v>
      </c>
      <c r="D78" s="8">
        <v>33</v>
      </c>
      <c r="E78" s="8">
        <v>481</v>
      </c>
      <c r="F78" s="8">
        <v>0.22</v>
      </c>
      <c r="G78" s="9">
        <v>1650</v>
      </c>
      <c r="H78" s="15">
        <f t="shared" si="1"/>
        <v>3.4303534303534304</v>
      </c>
      <c r="I78" s="15">
        <f>Table2[[#This Row],[Ad Spend]]/Table2[[#This Row],[Leads]]</f>
        <v>3.2281879194630871</v>
      </c>
      <c r="J78" s="15">
        <f>Table2[[#This Row],[Ad Spend]]/Table2[[#This Row],[Conversions]]</f>
        <v>14.575757575757576</v>
      </c>
    </row>
    <row r="79" spans="1:10" x14ac:dyDescent="0.35">
      <c r="A79" s="17">
        <v>45369</v>
      </c>
      <c r="B79" s="10" t="s">
        <v>7</v>
      </c>
      <c r="C79" s="10">
        <v>109</v>
      </c>
      <c r="D79" s="10">
        <v>30</v>
      </c>
      <c r="E79" s="10">
        <v>1012</v>
      </c>
      <c r="F79" s="10">
        <v>0.28000000000000003</v>
      </c>
      <c r="G79" s="11">
        <v>1500</v>
      </c>
      <c r="H79" s="15">
        <f t="shared" si="1"/>
        <v>1.482213438735178</v>
      </c>
      <c r="I79" s="15">
        <f>Table2[[#This Row],[Ad Spend]]/Table2[[#This Row],[Leads]]</f>
        <v>9.2844036697247709</v>
      </c>
      <c r="J79" s="15">
        <f>Table2[[#This Row],[Ad Spend]]/Table2[[#This Row],[Conversions]]</f>
        <v>33.733333333333334</v>
      </c>
    </row>
    <row r="80" spans="1:10" x14ac:dyDescent="0.35">
      <c r="A80" s="16">
        <v>45370</v>
      </c>
      <c r="B80" s="8" t="s">
        <v>7</v>
      </c>
      <c r="C80" s="8">
        <v>101</v>
      </c>
      <c r="D80" s="8">
        <v>45</v>
      </c>
      <c r="E80" s="8">
        <v>1280</v>
      </c>
      <c r="F80" s="8">
        <v>0.45</v>
      </c>
      <c r="G80" s="9">
        <v>2250</v>
      </c>
      <c r="H80" s="15">
        <f t="shared" si="1"/>
        <v>1.7578125</v>
      </c>
      <c r="I80" s="15">
        <f>Table2[[#This Row],[Ad Spend]]/Table2[[#This Row],[Leads]]</f>
        <v>12.673267326732674</v>
      </c>
      <c r="J80" s="15">
        <f>Table2[[#This Row],[Ad Spend]]/Table2[[#This Row],[Conversions]]</f>
        <v>28.444444444444443</v>
      </c>
    </row>
    <row r="81" spans="1:10" x14ac:dyDescent="0.35">
      <c r="A81" s="17">
        <v>45371</v>
      </c>
      <c r="B81" s="10" t="s">
        <v>7</v>
      </c>
      <c r="C81" s="10">
        <v>122</v>
      </c>
      <c r="D81" s="10">
        <v>49</v>
      </c>
      <c r="E81" s="10">
        <v>1320</v>
      </c>
      <c r="F81" s="10">
        <v>0.4</v>
      </c>
      <c r="G81" s="11">
        <v>2450</v>
      </c>
      <c r="H81" s="15">
        <f t="shared" si="1"/>
        <v>1.856060606060606</v>
      </c>
      <c r="I81" s="15">
        <f>Table2[[#This Row],[Ad Spend]]/Table2[[#This Row],[Leads]]</f>
        <v>10.819672131147541</v>
      </c>
      <c r="J81" s="15">
        <f>Table2[[#This Row],[Ad Spend]]/Table2[[#This Row],[Conversions]]</f>
        <v>26.938775510204081</v>
      </c>
    </row>
    <row r="82" spans="1:10" x14ac:dyDescent="0.35">
      <c r="A82" s="16">
        <v>45372</v>
      </c>
      <c r="B82" s="8" t="s">
        <v>7</v>
      </c>
      <c r="C82" s="8">
        <v>56</v>
      </c>
      <c r="D82" s="8">
        <v>11</v>
      </c>
      <c r="E82" s="8">
        <v>1822</v>
      </c>
      <c r="F82" s="8">
        <v>0.2</v>
      </c>
      <c r="G82" s="9">
        <v>550</v>
      </c>
      <c r="H82" s="15">
        <f t="shared" si="1"/>
        <v>0.30186608122941821</v>
      </c>
      <c r="I82" s="15">
        <f>Table2[[#This Row],[Ad Spend]]/Table2[[#This Row],[Leads]]</f>
        <v>32.535714285714285</v>
      </c>
      <c r="J82" s="15">
        <f>Table2[[#This Row],[Ad Spend]]/Table2[[#This Row],[Conversions]]</f>
        <v>165.63636363636363</v>
      </c>
    </row>
    <row r="83" spans="1:10" x14ac:dyDescent="0.35">
      <c r="A83" s="17">
        <v>45373</v>
      </c>
      <c r="B83" s="10" t="s">
        <v>7</v>
      </c>
      <c r="C83" s="10">
        <v>42</v>
      </c>
      <c r="D83" s="10">
        <v>22</v>
      </c>
      <c r="E83" s="10">
        <v>926</v>
      </c>
      <c r="F83" s="10">
        <v>0.52</v>
      </c>
      <c r="G83" s="11">
        <v>1100</v>
      </c>
      <c r="H83" s="15">
        <f t="shared" si="1"/>
        <v>1.1879049676025919</v>
      </c>
      <c r="I83" s="15">
        <f>Table2[[#This Row],[Ad Spend]]/Table2[[#This Row],[Leads]]</f>
        <v>22.047619047619047</v>
      </c>
      <c r="J83" s="15">
        <f>Table2[[#This Row],[Ad Spend]]/Table2[[#This Row],[Conversions]]</f>
        <v>42.090909090909093</v>
      </c>
    </row>
    <row r="84" spans="1:10" x14ac:dyDescent="0.35">
      <c r="A84" s="16">
        <v>45374</v>
      </c>
      <c r="B84" s="8" t="s">
        <v>7</v>
      </c>
      <c r="C84" s="8">
        <v>110</v>
      </c>
      <c r="D84" s="8">
        <v>6</v>
      </c>
      <c r="E84" s="8">
        <v>1339</v>
      </c>
      <c r="F84" s="8">
        <v>0.05</v>
      </c>
      <c r="G84" s="9">
        <v>300</v>
      </c>
      <c r="H84" s="15">
        <f t="shared" si="1"/>
        <v>0.22404779686333084</v>
      </c>
      <c r="I84" s="15">
        <f>Table2[[#This Row],[Ad Spend]]/Table2[[#This Row],[Leads]]</f>
        <v>12.172727272727272</v>
      </c>
      <c r="J84" s="15">
        <f>Table2[[#This Row],[Ad Spend]]/Table2[[#This Row],[Conversions]]</f>
        <v>223.16666666666666</v>
      </c>
    </row>
    <row r="85" spans="1:10" x14ac:dyDescent="0.35">
      <c r="A85" s="17">
        <v>45375</v>
      </c>
      <c r="B85" s="10" t="s">
        <v>7</v>
      </c>
      <c r="C85" s="10">
        <v>134</v>
      </c>
      <c r="D85" s="10">
        <v>45</v>
      </c>
      <c r="E85" s="10">
        <v>1415</v>
      </c>
      <c r="F85" s="10">
        <v>0.34</v>
      </c>
      <c r="G85" s="11">
        <v>2250</v>
      </c>
      <c r="H85" s="15">
        <f t="shared" si="1"/>
        <v>1.5901060070671378</v>
      </c>
      <c r="I85" s="15">
        <f>Table2[[#This Row],[Ad Spend]]/Table2[[#This Row],[Leads]]</f>
        <v>10.559701492537313</v>
      </c>
      <c r="J85" s="15">
        <f>Table2[[#This Row],[Ad Spend]]/Table2[[#This Row],[Conversions]]</f>
        <v>31.444444444444443</v>
      </c>
    </row>
    <row r="86" spans="1:10" x14ac:dyDescent="0.35">
      <c r="A86" s="16">
        <v>45376</v>
      </c>
      <c r="B86" s="8" t="s">
        <v>7</v>
      </c>
      <c r="C86" s="8">
        <v>23</v>
      </c>
      <c r="D86" s="8">
        <v>25</v>
      </c>
      <c r="E86" s="8">
        <v>624</v>
      </c>
      <c r="F86" s="8">
        <v>1.0900000000000001</v>
      </c>
      <c r="G86" s="9">
        <v>1250</v>
      </c>
      <c r="H86" s="15">
        <f t="shared" si="1"/>
        <v>2.0032051282051282</v>
      </c>
      <c r="I86" s="15">
        <f>Table2[[#This Row],[Ad Spend]]/Table2[[#This Row],[Leads]]</f>
        <v>27.130434782608695</v>
      </c>
      <c r="J86" s="15">
        <f>Table2[[#This Row],[Ad Spend]]/Table2[[#This Row],[Conversions]]</f>
        <v>24.96</v>
      </c>
    </row>
    <row r="87" spans="1:10" x14ac:dyDescent="0.35">
      <c r="A87" s="17">
        <v>45377</v>
      </c>
      <c r="B87" s="10" t="s">
        <v>7</v>
      </c>
      <c r="C87" s="10">
        <v>63</v>
      </c>
      <c r="D87" s="10">
        <v>18</v>
      </c>
      <c r="E87" s="10">
        <v>260</v>
      </c>
      <c r="F87" s="10">
        <v>0.28999999999999998</v>
      </c>
      <c r="G87" s="11">
        <v>900</v>
      </c>
      <c r="H87" s="15">
        <f t="shared" si="1"/>
        <v>3.4615384615384617</v>
      </c>
      <c r="I87" s="15">
        <f>Table2[[#This Row],[Ad Spend]]/Table2[[#This Row],[Leads]]</f>
        <v>4.1269841269841274</v>
      </c>
      <c r="J87" s="15">
        <f>Table2[[#This Row],[Ad Spend]]/Table2[[#This Row],[Conversions]]</f>
        <v>14.444444444444445</v>
      </c>
    </row>
    <row r="88" spans="1:10" x14ac:dyDescent="0.35">
      <c r="A88" s="16">
        <v>45378</v>
      </c>
      <c r="B88" s="8" t="s">
        <v>7</v>
      </c>
      <c r="C88" s="8">
        <v>98</v>
      </c>
      <c r="D88" s="8">
        <v>18</v>
      </c>
      <c r="E88" s="8">
        <v>510</v>
      </c>
      <c r="F88" s="8">
        <v>0.18</v>
      </c>
      <c r="G88" s="9">
        <v>900</v>
      </c>
      <c r="H88" s="15">
        <f t="shared" si="1"/>
        <v>1.7647058823529411</v>
      </c>
      <c r="I88" s="15">
        <f>Table2[[#This Row],[Ad Spend]]/Table2[[#This Row],[Leads]]</f>
        <v>5.204081632653061</v>
      </c>
      <c r="J88" s="15">
        <f>Table2[[#This Row],[Ad Spend]]/Table2[[#This Row],[Conversions]]</f>
        <v>28.333333333333332</v>
      </c>
    </row>
    <row r="89" spans="1:10" x14ac:dyDescent="0.35">
      <c r="A89" s="17">
        <v>45379</v>
      </c>
      <c r="B89" s="10" t="s">
        <v>7</v>
      </c>
      <c r="C89" s="10">
        <v>113</v>
      </c>
      <c r="D89" s="10">
        <v>27</v>
      </c>
      <c r="E89" s="10">
        <v>1022</v>
      </c>
      <c r="F89" s="10">
        <v>0.24</v>
      </c>
      <c r="G89" s="11">
        <v>1350</v>
      </c>
      <c r="H89" s="15">
        <f t="shared" si="1"/>
        <v>1.3209393346379648</v>
      </c>
      <c r="I89" s="15">
        <f>Table2[[#This Row],[Ad Spend]]/Table2[[#This Row],[Leads]]</f>
        <v>9.0442477876106189</v>
      </c>
      <c r="J89" s="15">
        <f>Table2[[#This Row],[Ad Spend]]/Table2[[#This Row],[Conversions]]</f>
        <v>37.851851851851855</v>
      </c>
    </row>
    <row r="90" spans="1:10" x14ac:dyDescent="0.35">
      <c r="A90" s="16">
        <v>45380</v>
      </c>
      <c r="B90" s="8" t="s">
        <v>7</v>
      </c>
      <c r="C90" s="8">
        <v>102</v>
      </c>
      <c r="D90" s="8">
        <v>23</v>
      </c>
      <c r="E90" s="8">
        <v>920</v>
      </c>
      <c r="F90" s="8">
        <v>0.23</v>
      </c>
      <c r="G90" s="9">
        <v>1150</v>
      </c>
      <c r="H90" s="15">
        <f t="shared" si="1"/>
        <v>1.25</v>
      </c>
      <c r="I90" s="15">
        <f>Table2[[#This Row],[Ad Spend]]/Table2[[#This Row],[Leads]]</f>
        <v>9.0196078431372548</v>
      </c>
      <c r="J90" s="15">
        <f>Table2[[#This Row],[Ad Spend]]/Table2[[#This Row],[Conversions]]</f>
        <v>40</v>
      </c>
    </row>
    <row r="91" spans="1:10" x14ac:dyDescent="0.35">
      <c r="A91" s="17">
        <v>45381</v>
      </c>
      <c r="B91" s="10" t="s">
        <v>7</v>
      </c>
      <c r="C91" s="10">
        <v>92</v>
      </c>
      <c r="D91" s="10">
        <v>23</v>
      </c>
      <c r="E91" s="10">
        <v>453</v>
      </c>
      <c r="F91" s="10">
        <v>0.25</v>
      </c>
      <c r="G91" s="11">
        <v>1150</v>
      </c>
      <c r="H91" s="15">
        <f t="shared" si="1"/>
        <v>2.5386313465783665</v>
      </c>
      <c r="I91" s="15">
        <f>Table2[[#This Row],[Ad Spend]]/Table2[[#This Row],[Leads]]</f>
        <v>4.9239130434782608</v>
      </c>
      <c r="J91" s="15">
        <f>Table2[[#This Row],[Ad Spend]]/Table2[[#This Row],[Conversions]]</f>
        <v>19.695652173913043</v>
      </c>
    </row>
    <row r="92" spans="1:10" x14ac:dyDescent="0.35">
      <c r="A92" s="16">
        <v>45292</v>
      </c>
      <c r="B92" s="8" t="s">
        <v>8</v>
      </c>
      <c r="C92" s="8">
        <v>99</v>
      </c>
      <c r="D92" s="8">
        <v>42</v>
      </c>
      <c r="E92" s="8">
        <v>1314</v>
      </c>
      <c r="F92" s="8">
        <v>0.42</v>
      </c>
      <c r="G92" s="9">
        <v>2100</v>
      </c>
      <c r="H92" s="15">
        <f t="shared" si="1"/>
        <v>1.5981735159817352</v>
      </c>
      <c r="I92" s="15">
        <f>Table2[[#This Row],[Ad Spend]]/Table2[[#This Row],[Leads]]</f>
        <v>13.272727272727273</v>
      </c>
      <c r="J92" s="15">
        <f>Table2[[#This Row],[Ad Spend]]/Table2[[#This Row],[Conversions]]</f>
        <v>31.285714285714285</v>
      </c>
    </row>
    <row r="93" spans="1:10" x14ac:dyDescent="0.35">
      <c r="A93" s="17">
        <v>45293</v>
      </c>
      <c r="B93" s="10" t="s">
        <v>8</v>
      </c>
      <c r="C93" s="10">
        <v>130</v>
      </c>
      <c r="D93" s="10">
        <v>18</v>
      </c>
      <c r="E93" s="10">
        <v>1440</v>
      </c>
      <c r="F93" s="10">
        <v>0.14000000000000001</v>
      </c>
      <c r="G93" s="11">
        <v>900</v>
      </c>
      <c r="H93" s="15">
        <f t="shared" si="1"/>
        <v>0.625</v>
      </c>
      <c r="I93" s="15">
        <f>Table2[[#This Row],[Ad Spend]]/Table2[[#This Row],[Leads]]</f>
        <v>11.076923076923077</v>
      </c>
      <c r="J93" s="15">
        <f>Table2[[#This Row],[Ad Spend]]/Table2[[#This Row],[Conversions]]</f>
        <v>80</v>
      </c>
    </row>
    <row r="94" spans="1:10" x14ac:dyDescent="0.35">
      <c r="A94" s="16">
        <v>45294</v>
      </c>
      <c r="B94" s="8" t="s">
        <v>8</v>
      </c>
      <c r="C94" s="8">
        <v>108</v>
      </c>
      <c r="D94" s="8">
        <v>6</v>
      </c>
      <c r="E94" s="8">
        <v>1746</v>
      </c>
      <c r="F94" s="8">
        <v>0.06</v>
      </c>
      <c r="G94" s="9">
        <v>300</v>
      </c>
      <c r="H94" s="15">
        <f t="shared" si="1"/>
        <v>0.1718213058419244</v>
      </c>
      <c r="I94" s="15">
        <f>Table2[[#This Row],[Ad Spend]]/Table2[[#This Row],[Leads]]</f>
        <v>16.166666666666668</v>
      </c>
      <c r="J94" s="15">
        <f>Table2[[#This Row],[Ad Spend]]/Table2[[#This Row],[Conversions]]</f>
        <v>291</v>
      </c>
    </row>
    <row r="95" spans="1:10" x14ac:dyDescent="0.35">
      <c r="A95" s="17">
        <v>45295</v>
      </c>
      <c r="B95" s="10" t="s">
        <v>8</v>
      </c>
      <c r="C95" s="10">
        <v>133</v>
      </c>
      <c r="D95" s="10">
        <v>19</v>
      </c>
      <c r="E95" s="10">
        <v>1993</v>
      </c>
      <c r="F95" s="10">
        <v>0.14000000000000001</v>
      </c>
      <c r="G95" s="11">
        <v>950</v>
      </c>
      <c r="H95" s="15">
        <f t="shared" si="1"/>
        <v>0.47666833918715507</v>
      </c>
      <c r="I95" s="15">
        <f>Table2[[#This Row],[Ad Spend]]/Table2[[#This Row],[Leads]]</f>
        <v>14.984962406015038</v>
      </c>
      <c r="J95" s="15">
        <f>Table2[[#This Row],[Ad Spend]]/Table2[[#This Row],[Conversions]]</f>
        <v>104.89473684210526</v>
      </c>
    </row>
    <row r="96" spans="1:10" x14ac:dyDescent="0.35">
      <c r="A96" s="16">
        <v>45296</v>
      </c>
      <c r="B96" s="8" t="s">
        <v>8</v>
      </c>
      <c r="C96" s="8">
        <v>142</v>
      </c>
      <c r="D96" s="8">
        <v>13</v>
      </c>
      <c r="E96" s="8">
        <v>826</v>
      </c>
      <c r="F96" s="8">
        <v>0.09</v>
      </c>
      <c r="G96" s="9">
        <v>650</v>
      </c>
      <c r="H96" s="15">
        <f t="shared" si="1"/>
        <v>0.78692493946731235</v>
      </c>
      <c r="I96" s="15">
        <f>Table2[[#This Row],[Ad Spend]]/Table2[[#This Row],[Leads]]</f>
        <v>5.816901408450704</v>
      </c>
      <c r="J96" s="15">
        <f>Table2[[#This Row],[Ad Spend]]/Table2[[#This Row],[Conversions]]</f>
        <v>63.53846153846154</v>
      </c>
    </row>
    <row r="97" spans="1:10" x14ac:dyDescent="0.35">
      <c r="A97" s="17">
        <v>45297</v>
      </c>
      <c r="B97" s="10" t="s">
        <v>8</v>
      </c>
      <c r="C97" s="10">
        <v>121</v>
      </c>
      <c r="D97" s="10">
        <v>48</v>
      </c>
      <c r="E97" s="10">
        <v>1550</v>
      </c>
      <c r="F97" s="10">
        <v>0.4</v>
      </c>
      <c r="G97" s="11">
        <v>2400</v>
      </c>
      <c r="H97" s="15">
        <f t="shared" si="1"/>
        <v>1.5483870967741935</v>
      </c>
      <c r="I97" s="15">
        <f>Table2[[#This Row],[Ad Spend]]/Table2[[#This Row],[Leads]]</f>
        <v>12.809917355371901</v>
      </c>
      <c r="J97" s="15">
        <f>Table2[[#This Row],[Ad Spend]]/Table2[[#This Row],[Conversions]]</f>
        <v>32.291666666666664</v>
      </c>
    </row>
    <row r="98" spans="1:10" x14ac:dyDescent="0.35">
      <c r="A98" s="16">
        <v>45298</v>
      </c>
      <c r="B98" s="8" t="s">
        <v>8</v>
      </c>
      <c r="C98" s="8">
        <v>98</v>
      </c>
      <c r="D98" s="8">
        <v>7</v>
      </c>
      <c r="E98" s="8">
        <v>313</v>
      </c>
      <c r="F98" s="8">
        <v>7.0000000000000007E-2</v>
      </c>
      <c r="G98" s="9">
        <v>350</v>
      </c>
      <c r="H98" s="15">
        <f t="shared" si="1"/>
        <v>1.1182108626198084</v>
      </c>
      <c r="I98" s="15">
        <f>Table2[[#This Row],[Ad Spend]]/Table2[[#This Row],[Leads]]</f>
        <v>3.193877551020408</v>
      </c>
      <c r="J98" s="15">
        <f>Table2[[#This Row],[Ad Spend]]/Table2[[#This Row],[Conversions]]</f>
        <v>44.714285714285715</v>
      </c>
    </row>
    <row r="99" spans="1:10" x14ac:dyDescent="0.35">
      <c r="A99" s="17">
        <v>45299</v>
      </c>
      <c r="B99" s="10" t="s">
        <v>8</v>
      </c>
      <c r="C99" s="10">
        <v>73</v>
      </c>
      <c r="D99" s="10">
        <v>8</v>
      </c>
      <c r="E99" s="10">
        <v>354</v>
      </c>
      <c r="F99" s="10">
        <v>0.11</v>
      </c>
      <c r="G99" s="11">
        <v>400</v>
      </c>
      <c r="H99" s="15">
        <f t="shared" si="1"/>
        <v>1.1299435028248588</v>
      </c>
      <c r="I99" s="15">
        <f>Table2[[#This Row],[Ad Spend]]/Table2[[#This Row],[Leads]]</f>
        <v>4.8493150684931505</v>
      </c>
      <c r="J99" s="15">
        <f>Table2[[#This Row],[Ad Spend]]/Table2[[#This Row],[Conversions]]</f>
        <v>44.25</v>
      </c>
    </row>
    <row r="100" spans="1:10" x14ac:dyDescent="0.35">
      <c r="A100" s="16">
        <v>45300</v>
      </c>
      <c r="B100" s="8" t="s">
        <v>8</v>
      </c>
      <c r="C100" s="8">
        <v>86</v>
      </c>
      <c r="D100" s="8">
        <v>31</v>
      </c>
      <c r="E100" s="8">
        <v>423</v>
      </c>
      <c r="F100" s="8">
        <v>0.36</v>
      </c>
      <c r="G100" s="9">
        <v>1550</v>
      </c>
      <c r="H100" s="15">
        <f t="shared" si="1"/>
        <v>3.6643026004728134</v>
      </c>
      <c r="I100" s="15">
        <f>Table2[[#This Row],[Ad Spend]]/Table2[[#This Row],[Leads]]</f>
        <v>4.9186046511627906</v>
      </c>
      <c r="J100" s="15">
        <f>Table2[[#This Row],[Ad Spend]]/Table2[[#This Row],[Conversions]]</f>
        <v>13.64516129032258</v>
      </c>
    </row>
    <row r="101" spans="1:10" x14ac:dyDescent="0.35">
      <c r="A101" s="17">
        <v>45301</v>
      </c>
      <c r="B101" s="10" t="s">
        <v>8</v>
      </c>
      <c r="C101" s="10">
        <v>102</v>
      </c>
      <c r="D101" s="10">
        <v>49</v>
      </c>
      <c r="E101" s="10">
        <v>950</v>
      </c>
      <c r="F101" s="10">
        <v>0.48</v>
      </c>
      <c r="G101" s="11">
        <v>2450</v>
      </c>
      <c r="H101" s="15">
        <f t="shared" si="1"/>
        <v>2.5789473684210527</v>
      </c>
      <c r="I101" s="15">
        <f>Table2[[#This Row],[Ad Spend]]/Table2[[#This Row],[Leads]]</f>
        <v>9.3137254901960791</v>
      </c>
      <c r="J101" s="15">
        <f>Table2[[#This Row],[Ad Spend]]/Table2[[#This Row],[Conversions]]</f>
        <v>19.387755102040817</v>
      </c>
    </row>
    <row r="102" spans="1:10" x14ac:dyDescent="0.35">
      <c r="A102" s="16">
        <v>45302</v>
      </c>
      <c r="B102" s="8" t="s">
        <v>8</v>
      </c>
      <c r="C102" s="8">
        <v>144</v>
      </c>
      <c r="D102" s="8">
        <v>27</v>
      </c>
      <c r="E102" s="8">
        <v>1775</v>
      </c>
      <c r="F102" s="8">
        <v>0.19</v>
      </c>
      <c r="G102" s="9">
        <v>1350</v>
      </c>
      <c r="H102" s="15">
        <f t="shared" si="1"/>
        <v>0.76056338028169013</v>
      </c>
      <c r="I102" s="15">
        <f>Table2[[#This Row],[Ad Spend]]/Table2[[#This Row],[Leads]]</f>
        <v>12.326388888888889</v>
      </c>
      <c r="J102" s="15">
        <f>Table2[[#This Row],[Ad Spend]]/Table2[[#This Row],[Conversions]]</f>
        <v>65.740740740740748</v>
      </c>
    </row>
    <row r="103" spans="1:10" x14ac:dyDescent="0.35">
      <c r="A103" s="17">
        <v>45303</v>
      </c>
      <c r="B103" s="10" t="s">
        <v>8</v>
      </c>
      <c r="C103" s="10">
        <v>23</v>
      </c>
      <c r="D103" s="10">
        <v>10</v>
      </c>
      <c r="E103" s="10">
        <v>355</v>
      </c>
      <c r="F103" s="10">
        <v>0.43</v>
      </c>
      <c r="G103" s="11">
        <v>500</v>
      </c>
      <c r="H103" s="15">
        <f t="shared" si="1"/>
        <v>1.408450704225352</v>
      </c>
      <c r="I103" s="15">
        <f>Table2[[#This Row],[Ad Spend]]/Table2[[#This Row],[Leads]]</f>
        <v>15.434782608695652</v>
      </c>
      <c r="J103" s="15">
        <f>Table2[[#This Row],[Ad Spend]]/Table2[[#This Row],[Conversions]]</f>
        <v>35.5</v>
      </c>
    </row>
    <row r="104" spans="1:10" x14ac:dyDescent="0.35">
      <c r="A104" s="16">
        <v>45304</v>
      </c>
      <c r="B104" s="8" t="s">
        <v>8</v>
      </c>
      <c r="C104" s="8">
        <v>66</v>
      </c>
      <c r="D104" s="8">
        <v>9</v>
      </c>
      <c r="E104" s="8">
        <v>1424</v>
      </c>
      <c r="F104" s="8">
        <v>0.14000000000000001</v>
      </c>
      <c r="G104" s="9">
        <v>450</v>
      </c>
      <c r="H104" s="15">
        <f t="shared" si="1"/>
        <v>0.3160112359550562</v>
      </c>
      <c r="I104" s="15">
        <f>Table2[[#This Row],[Ad Spend]]/Table2[[#This Row],[Leads]]</f>
        <v>21.575757575757574</v>
      </c>
      <c r="J104" s="15">
        <f>Table2[[#This Row],[Ad Spend]]/Table2[[#This Row],[Conversions]]</f>
        <v>158.22222222222223</v>
      </c>
    </row>
    <row r="105" spans="1:10" x14ac:dyDescent="0.35">
      <c r="A105" s="17">
        <v>45305</v>
      </c>
      <c r="B105" s="10" t="s">
        <v>8</v>
      </c>
      <c r="C105" s="10">
        <v>145</v>
      </c>
      <c r="D105" s="10">
        <v>13</v>
      </c>
      <c r="E105" s="10">
        <v>1107</v>
      </c>
      <c r="F105" s="10">
        <v>0.09</v>
      </c>
      <c r="G105" s="11">
        <v>650</v>
      </c>
      <c r="H105" s="15">
        <f t="shared" si="1"/>
        <v>0.58717253839205064</v>
      </c>
      <c r="I105" s="15">
        <f>Table2[[#This Row],[Ad Spend]]/Table2[[#This Row],[Leads]]</f>
        <v>7.63448275862069</v>
      </c>
      <c r="J105" s="15">
        <f>Table2[[#This Row],[Ad Spend]]/Table2[[#This Row],[Conversions]]</f>
        <v>85.15384615384616</v>
      </c>
    </row>
    <row r="106" spans="1:10" x14ac:dyDescent="0.35">
      <c r="A106" s="16">
        <v>45306</v>
      </c>
      <c r="B106" s="8" t="s">
        <v>8</v>
      </c>
      <c r="C106" s="8">
        <v>95</v>
      </c>
      <c r="D106" s="8">
        <v>41</v>
      </c>
      <c r="E106" s="8">
        <v>1428</v>
      </c>
      <c r="F106" s="8">
        <v>0.43</v>
      </c>
      <c r="G106" s="9">
        <v>2050</v>
      </c>
      <c r="H106" s="15">
        <f t="shared" si="1"/>
        <v>1.4355742296918768</v>
      </c>
      <c r="I106" s="15">
        <f>Table2[[#This Row],[Ad Spend]]/Table2[[#This Row],[Leads]]</f>
        <v>15.031578947368422</v>
      </c>
      <c r="J106" s="15">
        <f>Table2[[#This Row],[Ad Spend]]/Table2[[#This Row],[Conversions]]</f>
        <v>34.829268292682926</v>
      </c>
    </row>
    <row r="107" spans="1:10" x14ac:dyDescent="0.35">
      <c r="A107" s="17">
        <v>45307</v>
      </c>
      <c r="B107" s="10" t="s">
        <v>8</v>
      </c>
      <c r="C107" s="10">
        <v>52</v>
      </c>
      <c r="D107" s="10">
        <v>8</v>
      </c>
      <c r="E107" s="10">
        <v>1058</v>
      </c>
      <c r="F107" s="10">
        <v>0.15</v>
      </c>
      <c r="G107" s="11">
        <v>400</v>
      </c>
      <c r="H107" s="15">
        <f t="shared" si="1"/>
        <v>0.3780718336483932</v>
      </c>
      <c r="I107" s="15">
        <f>Table2[[#This Row],[Ad Spend]]/Table2[[#This Row],[Leads]]</f>
        <v>20.346153846153847</v>
      </c>
      <c r="J107" s="15">
        <f>Table2[[#This Row],[Ad Spend]]/Table2[[#This Row],[Conversions]]</f>
        <v>132.25</v>
      </c>
    </row>
    <row r="108" spans="1:10" x14ac:dyDescent="0.35">
      <c r="A108" s="16">
        <v>45308</v>
      </c>
      <c r="B108" s="8" t="s">
        <v>8</v>
      </c>
      <c r="C108" s="8">
        <v>44</v>
      </c>
      <c r="D108" s="8">
        <v>43</v>
      </c>
      <c r="E108" s="8">
        <v>142</v>
      </c>
      <c r="F108" s="8">
        <v>0.98</v>
      </c>
      <c r="G108" s="9">
        <v>2150</v>
      </c>
      <c r="H108" s="15">
        <f t="shared" si="1"/>
        <v>15.140845070422536</v>
      </c>
      <c r="I108" s="15">
        <f>Table2[[#This Row],[Ad Spend]]/Table2[[#This Row],[Leads]]</f>
        <v>3.2272727272727271</v>
      </c>
      <c r="J108" s="15">
        <f>Table2[[#This Row],[Ad Spend]]/Table2[[#This Row],[Conversions]]</f>
        <v>3.3023255813953489</v>
      </c>
    </row>
    <row r="109" spans="1:10" x14ac:dyDescent="0.35">
      <c r="A109" s="17">
        <v>45309</v>
      </c>
      <c r="B109" s="10" t="s">
        <v>8</v>
      </c>
      <c r="C109" s="10">
        <v>56</v>
      </c>
      <c r="D109" s="10">
        <v>18</v>
      </c>
      <c r="E109" s="10">
        <v>487</v>
      </c>
      <c r="F109" s="10">
        <v>0.32</v>
      </c>
      <c r="G109" s="11">
        <v>900</v>
      </c>
      <c r="H109" s="15">
        <f t="shared" si="1"/>
        <v>1.8480492813141685</v>
      </c>
      <c r="I109" s="15">
        <f>Table2[[#This Row],[Ad Spend]]/Table2[[#This Row],[Leads]]</f>
        <v>8.6964285714285712</v>
      </c>
      <c r="J109" s="15">
        <f>Table2[[#This Row],[Ad Spend]]/Table2[[#This Row],[Conversions]]</f>
        <v>27.055555555555557</v>
      </c>
    </row>
    <row r="110" spans="1:10" x14ac:dyDescent="0.35">
      <c r="A110" s="16">
        <v>45310</v>
      </c>
      <c r="B110" s="8" t="s">
        <v>8</v>
      </c>
      <c r="C110" s="8">
        <v>136</v>
      </c>
      <c r="D110" s="8">
        <v>44</v>
      </c>
      <c r="E110" s="8">
        <v>754</v>
      </c>
      <c r="F110" s="8">
        <v>0.32</v>
      </c>
      <c r="G110" s="9">
        <v>2200</v>
      </c>
      <c r="H110" s="15">
        <f t="shared" si="1"/>
        <v>2.9177718832891246</v>
      </c>
      <c r="I110" s="15">
        <f>Table2[[#This Row],[Ad Spend]]/Table2[[#This Row],[Leads]]</f>
        <v>5.5441176470588234</v>
      </c>
      <c r="J110" s="15">
        <f>Table2[[#This Row],[Ad Spend]]/Table2[[#This Row],[Conversions]]</f>
        <v>17.136363636363637</v>
      </c>
    </row>
    <row r="111" spans="1:10" x14ac:dyDescent="0.35">
      <c r="A111" s="17">
        <v>45311</v>
      </c>
      <c r="B111" s="10" t="s">
        <v>8</v>
      </c>
      <c r="C111" s="10">
        <v>126</v>
      </c>
      <c r="D111" s="10">
        <v>8</v>
      </c>
      <c r="E111" s="10">
        <v>1543</v>
      </c>
      <c r="F111" s="10">
        <v>0.06</v>
      </c>
      <c r="G111" s="11">
        <v>400</v>
      </c>
      <c r="H111" s="15">
        <f t="shared" si="1"/>
        <v>0.25923525599481528</v>
      </c>
      <c r="I111" s="15">
        <f>Table2[[#This Row],[Ad Spend]]/Table2[[#This Row],[Leads]]</f>
        <v>12.246031746031745</v>
      </c>
      <c r="J111" s="15">
        <f>Table2[[#This Row],[Ad Spend]]/Table2[[#This Row],[Conversions]]</f>
        <v>192.875</v>
      </c>
    </row>
    <row r="112" spans="1:10" x14ac:dyDescent="0.35">
      <c r="A112" s="16">
        <v>45312</v>
      </c>
      <c r="B112" s="8" t="s">
        <v>8</v>
      </c>
      <c r="C112" s="8">
        <v>23</v>
      </c>
      <c r="D112" s="8">
        <v>16</v>
      </c>
      <c r="E112" s="8">
        <v>1886</v>
      </c>
      <c r="F112" s="8">
        <v>0.7</v>
      </c>
      <c r="G112" s="9">
        <v>800</v>
      </c>
      <c r="H112" s="15">
        <f t="shared" si="1"/>
        <v>0.42417815482502652</v>
      </c>
      <c r="I112" s="15">
        <f>Table2[[#This Row],[Ad Spend]]/Table2[[#This Row],[Leads]]</f>
        <v>82</v>
      </c>
      <c r="J112" s="15">
        <f>Table2[[#This Row],[Ad Spend]]/Table2[[#This Row],[Conversions]]</f>
        <v>117.875</v>
      </c>
    </row>
    <row r="113" spans="1:10" x14ac:dyDescent="0.35">
      <c r="A113" s="17">
        <v>45313</v>
      </c>
      <c r="B113" s="10" t="s">
        <v>8</v>
      </c>
      <c r="C113" s="10">
        <v>73</v>
      </c>
      <c r="D113" s="10">
        <v>39</v>
      </c>
      <c r="E113" s="10">
        <v>457</v>
      </c>
      <c r="F113" s="10">
        <v>0.53</v>
      </c>
      <c r="G113" s="11">
        <v>1950</v>
      </c>
      <c r="H113" s="15">
        <f t="shared" si="1"/>
        <v>4.2669584245076591</v>
      </c>
      <c r="I113" s="15">
        <f>Table2[[#This Row],[Ad Spend]]/Table2[[#This Row],[Leads]]</f>
        <v>6.2602739726027394</v>
      </c>
      <c r="J113" s="15">
        <f>Table2[[#This Row],[Ad Spend]]/Table2[[#This Row],[Conversions]]</f>
        <v>11.717948717948717</v>
      </c>
    </row>
    <row r="114" spans="1:10" x14ac:dyDescent="0.35">
      <c r="A114" s="16">
        <v>45314</v>
      </c>
      <c r="B114" s="8" t="s">
        <v>8</v>
      </c>
      <c r="C114" s="8">
        <v>129</v>
      </c>
      <c r="D114" s="8">
        <v>30</v>
      </c>
      <c r="E114" s="8">
        <v>1317</v>
      </c>
      <c r="F114" s="8">
        <v>0.23</v>
      </c>
      <c r="G114" s="9">
        <v>1500</v>
      </c>
      <c r="H114" s="15">
        <f t="shared" si="1"/>
        <v>1.1389521640091116</v>
      </c>
      <c r="I114" s="15">
        <f>Table2[[#This Row],[Ad Spend]]/Table2[[#This Row],[Leads]]</f>
        <v>10.209302325581396</v>
      </c>
      <c r="J114" s="15">
        <f>Table2[[#This Row],[Ad Spend]]/Table2[[#This Row],[Conversions]]</f>
        <v>43.9</v>
      </c>
    </row>
    <row r="115" spans="1:10" x14ac:dyDescent="0.35">
      <c r="A115" s="17">
        <v>45315</v>
      </c>
      <c r="B115" s="10" t="s">
        <v>8</v>
      </c>
      <c r="C115" s="10">
        <v>105</v>
      </c>
      <c r="D115" s="10">
        <v>18</v>
      </c>
      <c r="E115" s="10">
        <v>131</v>
      </c>
      <c r="F115" s="10">
        <v>0.17</v>
      </c>
      <c r="G115" s="11">
        <v>900</v>
      </c>
      <c r="H115" s="15">
        <f t="shared" si="1"/>
        <v>6.8702290076335881</v>
      </c>
      <c r="I115" s="15">
        <f>Table2[[#This Row],[Ad Spend]]/Table2[[#This Row],[Leads]]</f>
        <v>1.2476190476190476</v>
      </c>
      <c r="J115" s="15">
        <f>Table2[[#This Row],[Ad Spend]]/Table2[[#This Row],[Conversions]]</f>
        <v>7.2777777777777777</v>
      </c>
    </row>
    <row r="116" spans="1:10" x14ac:dyDescent="0.35">
      <c r="A116" s="16">
        <v>45316</v>
      </c>
      <c r="B116" s="8" t="s">
        <v>8</v>
      </c>
      <c r="C116" s="8">
        <v>68</v>
      </c>
      <c r="D116" s="8">
        <v>12</v>
      </c>
      <c r="E116" s="8">
        <v>947</v>
      </c>
      <c r="F116" s="8">
        <v>0.18</v>
      </c>
      <c r="G116" s="9">
        <v>600</v>
      </c>
      <c r="H116" s="15">
        <f t="shared" si="1"/>
        <v>0.6335797254487856</v>
      </c>
      <c r="I116" s="15">
        <f>Table2[[#This Row],[Ad Spend]]/Table2[[#This Row],[Leads]]</f>
        <v>13.926470588235293</v>
      </c>
      <c r="J116" s="15">
        <f>Table2[[#This Row],[Ad Spend]]/Table2[[#This Row],[Conversions]]</f>
        <v>78.916666666666671</v>
      </c>
    </row>
    <row r="117" spans="1:10" x14ac:dyDescent="0.35">
      <c r="A117" s="17">
        <v>45317</v>
      </c>
      <c r="B117" s="10" t="s">
        <v>8</v>
      </c>
      <c r="C117" s="10">
        <v>41</v>
      </c>
      <c r="D117" s="10">
        <v>14</v>
      </c>
      <c r="E117" s="10">
        <v>1316</v>
      </c>
      <c r="F117" s="10">
        <v>0.34</v>
      </c>
      <c r="G117" s="11">
        <v>700</v>
      </c>
      <c r="H117" s="15">
        <f t="shared" si="1"/>
        <v>0.53191489361702127</v>
      </c>
      <c r="I117" s="15">
        <f>Table2[[#This Row],[Ad Spend]]/Table2[[#This Row],[Leads]]</f>
        <v>32.097560975609753</v>
      </c>
      <c r="J117" s="15">
        <f>Table2[[#This Row],[Ad Spend]]/Table2[[#This Row],[Conversions]]</f>
        <v>94</v>
      </c>
    </row>
    <row r="118" spans="1:10" x14ac:dyDescent="0.35">
      <c r="A118" s="16">
        <v>45318</v>
      </c>
      <c r="B118" s="8" t="s">
        <v>8</v>
      </c>
      <c r="C118" s="8">
        <v>146</v>
      </c>
      <c r="D118" s="8">
        <v>14</v>
      </c>
      <c r="E118" s="8">
        <v>944</v>
      </c>
      <c r="F118" s="8">
        <v>0.1</v>
      </c>
      <c r="G118" s="9">
        <v>700</v>
      </c>
      <c r="H118" s="15">
        <f t="shared" si="1"/>
        <v>0.74152542372881358</v>
      </c>
      <c r="I118" s="15">
        <f>Table2[[#This Row],[Ad Spend]]/Table2[[#This Row],[Leads]]</f>
        <v>6.4657534246575343</v>
      </c>
      <c r="J118" s="15">
        <f>Table2[[#This Row],[Ad Spend]]/Table2[[#This Row],[Conversions]]</f>
        <v>67.428571428571431</v>
      </c>
    </row>
    <row r="119" spans="1:10" x14ac:dyDescent="0.35">
      <c r="A119" s="17">
        <v>45319</v>
      </c>
      <c r="B119" s="10" t="s">
        <v>8</v>
      </c>
      <c r="C119" s="10">
        <v>49</v>
      </c>
      <c r="D119" s="10">
        <v>40</v>
      </c>
      <c r="E119" s="10">
        <v>991</v>
      </c>
      <c r="F119" s="10">
        <v>0.82</v>
      </c>
      <c r="G119" s="11">
        <v>2000</v>
      </c>
      <c r="H119" s="15">
        <f t="shared" si="1"/>
        <v>2.0181634712411705</v>
      </c>
      <c r="I119" s="15">
        <f>Table2[[#This Row],[Ad Spend]]/Table2[[#This Row],[Leads]]</f>
        <v>20.224489795918366</v>
      </c>
      <c r="J119" s="15">
        <f>Table2[[#This Row],[Ad Spend]]/Table2[[#This Row],[Conversions]]</f>
        <v>24.774999999999999</v>
      </c>
    </row>
    <row r="120" spans="1:10" x14ac:dyDescent="0.35">
      <c r="A120" s="16">
        <v>45320</v>
      </c>
      <c r="B120" s="8" t="s">
        <v>8</v>
      </c>
      <c r="C120" s="8">
        <v>111</v>
      </c>
      <c r="D120" s="8">
        <v>21</v>
      </c>
      <c r="E120" s="8">
        <v>538</v>
      </c>
      <c r="F120" s="8">
        <v>0.19</v>
      </c>
      <c r="G120" s="9">
        <v>1050</v>
      </c>
      <c r="H120" s="15">
        <f t="shared" si="1"/>
        <v>1.9516728624535316</v>
      </c>
      <c r="I120" s="15">
        <f>Table2[[#This Row],[Ad Spend]]/Table2[[#This Row],[Leads]]</f>
        <v>4.8468468468468471</v>
      </c>
      <c r="J120" s="15">
        <f>Table2[[#This Row],[Ad Spend]]/Table2[[#This Row],[Conversions]]</f>
        <v>25.61904761904762</v>
      </c>
    </row>
    <row r="121" spans="1:10" x14ac:dyDescent="0.35">
      <c r="A121" s="17">
        <v>45321</v>
      </c>
      <c r="B121" s="10" t="s">
        <v>8</v>
      </c>
      <c r="C121" s="10">
        <v>78</v>
      </c>
      <c r="D121" s="10">
        <v>21</v>
      </c>
      <c r="E121" s="10">
        <v>820</v>
      </c>
      <c r="F121" s="10">
        <v>0.27</v>
      </c>
      <c r="G121" s="11">
        <v>1050</v>
      </c>
      <c r="H121" s="15">
        <f t="shared" si="1"/>
        <v>1.2804878048780488</v>
      </c>
      <c r="I121" s="15">
        <f>Table2[[#This Row],[Ad Spend]]/Table2[[#This Row],[Leads]]</f>
        <v>10.512820512820513</v>
      </c>
      <c r="J121" s="15">
        <f>Table2[[#This Row],[Ad Spend]]/Table2[[#This Row],[Conversions]]</f>
        <v>39.047619047619051</v>
      </c>
    </row>
    <row r="122" spans="1:10" x14ac:dyDescent="0.35">
      <c r="A122" s="16">
        <v>45322</v>
      </c>
      <c r="B122" s="8" t="s">
        <v>8</v>
      </c>
      <c r="C122" s="8">
        <v>92</v>
      </c>
      <c r="D122" s="8">
        <v>14</v>
      </c>
      <c r="E122" s="8">
        <v>1510</v>
      </c>
      <c r="F122" s="8">
        <v>0.15</v>
      </c>
      <c r="G122" s="9">
        <v>700</v>
      </c>
      <c r="H122" s="15">
        <f t="shared" si="1"/>
        <v>0.46357615894039733</v>
      </c>
      <c r="I122" s="15">
        <f>Table2[[#This Row],[Ad Spend]]/Table2[[#This Row],[Leads]]</f>
        <v>16.413043478260871</v>
      </c>
      <c r="J122" s="15">
        <f>Table2[[#This Row],[Ad Spend]]/Table2[[#This Row],[Conversions]]</f>
        <v>107.85714285714286</v>
      </c>
    </row>
    <row r="123" spans="1:10" x14ac:dyDescent="0.35">
      <c r="A123" s="17">
        <v>45323</v>
      </c>
      <c r="B123" s="10" t="s">
        <v>8</v>
      </c>
      <c r="C123" s="10">
        <v>27</v>
      </c>
      <c r="D123" s="10">
        <v>40</v>
      </c>
      <c r="E123" s="10">
        <v>161</v>
      </c>
      <c r="F123" s="10">
        <v>1.48</v>
      </c>
      <c r="G123" s="11">
        <v>2000</v>
      </c>
      <c r="H123" s="15">
        <f t="shared" si="1"/>
        <v>12.422360248447205</v>
      </c>
      <c r="I123" s="15">
        <f>Table2[[#This Row],[Ad Spend]]/Table2[[#This Row],[Leads]]</f>
        <v>5.9629629629629628</v>
      </c>
      <c r="J123" s="15">
        <f>Table2[[#This Row],[Ad Spend]]/Table2[[#This Row],[Conversions]]</f>
        <v>4.0250000000000004</v>
      </c>
    </row>
    <row r="124" spans="1:10" x14ac:dyDescent="0.35">
      <c r="A124" s="16">
        <v>45324</v>
      </c>
      <c r="B124" s="8" t="s">
        <v>8</v>
      </c>
      <c r="C124" s="8">
        <v>52</v>
      </c>
      <c r="D124" s="8">
        <v>7</v>
      </c>
      <c r="E124" s="8">
        <v>1752</v>
      </c>
      <c r="F124" s="8">
        <v>0.13</v>
      </c>
      <c r="G124" s="9">
        <v>350</v>
      </c>
      <c r="H124" s="15">
        <f t="shared" si="1"/>
        <v>0.1997716894977169</v>
      </c>
      <c r="I124" s="15">
        <f>Table2[[#This Row],[Ad Spend]]/Table2[[#This Row],[Leads]]</f>
        <v>33.692307692307693</v>
      </c>
      <c r="J124" s="15">
        <f>Table2[[#This Row],[Ad Spend]]/Table2[[#This Row],[Conversions]]</f>
        <v>250.28571428571428</v>
      </c>
    </row>
    <row r="125" spans="1:10" x14ac:dyDescent="0.35">
      <c r="A125" s="17">
        <v>45325</v>
      </c>
      <c r="B125" s="10" t="s">
        <v>8</v>
      </c>
      <c r="C125" s="10">
        <v>68</v>
      </c>
      <c r="D125" s="10">
        <v>25</v>
      </c>
      <c r="E125" s="10">
        <v>1218</v>
      </c>
      <c r="F125" s="10">
        <v>0.37</v>
      </c>
      <c r="G125" s="11">
        <v>1250</v>
      </c>
      <c r="H125" s="15">
        <f t="shared" si="1"/>
        <v>1.0262725779967159</v>
      </c>
      <c r="I125" s="15">
        <f>Table2[[#This Row],[Ad Spend]]/Table2[[#This Row],[Leads]]</f>
        <v>17.911764705882351</v>
      </c>
      <c r="J125" s="15">
        <f>Table2[[#This Row],[Ad Spend]]/Table2[[#This Row],[Conversions]]</f>
        <v>48.72</v>
      </c>
    </row>
    <row r="126" spans="1:10" x14ac:dyDescent="0.35">
      <c r="A126" s="16">
        <v>45326</v>
      </c>
      <c r="B126" s="8" t="s">
        <v>8</v>
      </c>
      <c r="C126" s="8">
        <v>130</v>
      </c>
      <c r="D126" s="8">
        <v>6</v>
      </c>
      <c r="E126" s="8">
        <v>1338</v>
      </c>
      <c r="F126" s="8">
        <v>0.05</v>
      </c>
      <c r="G126" s="9">
        <v>300</v>
      </c>
      <c r="H126" s="15">
        <f t="shared" si="1"/>
        <v>0.22421524663677131</v>
      </c>
      <c r="I126" s="15">
        <f>Table2[[#This Row],[Ad Spend]]/Table2[[#This Row],[Leads]]</f>
        <v>10.292307692307693</v>
      </c>
      <c r="J126" s="15">
        <f>Table2[[#This Row],[Ad Spend]]/Table2[[#This Row],[Conversions]]</f>
        <v>223</v>
      </c>
    </row>
    <row r="127" spans="1:10" x14ac:dyDescent="0.35">
      <c r="A127" s="17">
        <v>45327</v>
      </c>
      <c r="B127" s="10" t="s">
        <v>8</v>
      </c>
      <c r="C127" s="10">
        <v>40</v>
      </c>
      <c r="D127" s="10">
        <v>22</v>
      </c>
      <c r="E127" s="10">
        <v>664</v>
      </c>
      <c r="F127" s="10">
        <v>0.55000000000000004</v>
      </c>
      <c r="G127" s="11">
        <v>1100</v>
      </c>
      <c r="H127" s="15">
        <f t="shared" si="1"/>
        <v>1.6566265060240963</v>
      </c>
      <c r="I127" s="15">
        <f>Table2[[#This Row],[Ad Spend]]/Table2[[#This Row],[Leads]]</f>
        <v>16.600000000000001</v>
      </c>
      <c r="J127" s="15">
        <f>Table2[[#This Row],[Ad Spend]]/Table2[[#This Row],[Conversions]]</f>
        <v>30.181818181818183</v>
      </c>
    </row>
    <row r="128" spans="1:10" x14ac:dyDescent="0.35">
      <c r="A128" s="16">
        <v>45328</v>
      </c>
      <c r="B128" s="8" t="s">
        <v>8</v>
      </c>
      <c r="C128" s="8">
        <v>120</v>
      </c>
      <c r="D128" s="8">
        <v>28</v>
      </c>
      <c r="E128" s="8">
        <v>1381</v>
      </c>
      <c r="F128" s="8">
        <v>0.23</v>
      </c>
      <c r="G128" s="9">
        <v>1400</v>
      </c>
      <c r="H128" s="15">
        <f t="shared" si="1"/>
        <v>1.0137581462708183</v>
      </c>
      <c r="I128" s="15">
        <f>Table2[[#This Row],[Ad Spend]]/Table2[[#This Row],[Leads]]</f>
        <v>11.508333333333333</v>
      </c>
      <c r="J128" s="15">
        <f>Table2[[#This Row],[Ad Spend]]/Table2[[#This Row],[Conversions]]</f>
        <v>49.321428571428569</v>
      </c>
    </row>
    <row r="129" spans="1:10" x14ac:dyDescent="0.35">
      <c r="A129" s="17">
        <v>45329</v>
      </c>
      <c r="B129" s="10" t="s">
        <v>8</v>
      </c>
      <c r="C129" s="10">
        <v>45</v>
      </c>
      <c r="D129" s="10">
        <v>49</v>
      </c>
      <c r="E129" s="10">
        <v>1813</v>
      </c>
      <c r="F129" s="10">
        <v>1.0900000000000001</v>
      </c>
      <c r="G129" s="11">
        <v>2450</v>
      </c>
      <c r="H129" s="15">
        <f t="shared" si="1"/>
        <v>1.3513513513513513</v>
      </c>
      <c r="I129" s="15">
        <f>Table2[[#This Row],[Ad Spend]]/Table2[[#This Row],[Leads]]</f>
        <v>40.288888888888891</v>
      </c>
      <c r="J129" s="15">
        <f>Table2[[#This Row],[Ad Spend]]/Table2[[#This Row],[Conversions]]</f>
        <v>37</v>
      </c>
    </row>
    <row r="130" spans="1:10" x14ac:dyDescent="0.35">
      <c r="A130" s="16">
        <v>45330</v>
      </c>
      <c r="B130" s="8" t="s">
        <v>8</v>
      </c>
      <c r="C130" s="8">
        <v>72</v>
      </c>
      <c r="D130" s="8">
        <v>29</v>
      </c>
      <c r="E130" s="8">
        <v>932</v>
      </c>
      <c r="F130" s="8">
        <v>0.4</v>
      </c>
      <c r="G130" s="9">
        <v>1450</v>
      </c>
      <c r="H130" s="15">
        <f t="shared" si="1"/>
        <v>1.555793991416309</v>
      </c>
      <c r="I130" s="15">
        <f>Table2[[#This Row],[Ad Spend]]/Table2[[#This Row],[Leads]]</f>
        <v>12.944444444444445</v>
      </c>
      <c r="J130" s="15">
        <f>Table2[[#This Row],[Ad Spend]]/Table2[[#This Row],[Conversions]]</f>
        <v>32.137931034482762</v>
      </c>
    </row>
    <row r="131" spans="1:10" x14ac:dyDescent="0.35">
      <c r="A131" s="17">
        <v>45331</v>
      </c>
      <c r="B131" s="10" t="s">
        <v>8</v>
      </c>
      <c r="C131" s="10">
        <v>71</v>
      </c>
      <c r="D131" s="10">
        <v>38</v>
      </c>
      <c r="E131" s="10">
        <v>932</v>
      </c>
      <c r="F131" s="10">
        <v>0.54</v>
      </c>
      <c r="G131" s="11">
        <v>1900</v>
      </c>
      <c r="H131" s="15">
        <f t="shared" ref="H131:H194" si="2">G131/E131</f>
        <v>2.0386266094420602</v>
      </c>
      <c r="I131" s="15">
        <f>Table2[[#This Row],[Ad Spend]]/Table2[[#This Row],[Leads]]</f>
        <v>13.126760563380282</v>
      </c>
      <c r="J131" s="15">
        <f>Table2[[#This Row],[Ad Spend]]/Table2[[#This Row],[Conversions]]</f>
        <v>24.526315789473685</v>
      </c>
    </row>
    <row r="132" spans="1:10" x14ac:dyDescent="0.35">
      <c r="A132" s="16">
        <v>45332</v>
      </c>
      <c r="B132" s="8" t="s">
        <v>8</v>
      </c>
      <c r="C132" s="8">
        <v>77</v>
      </c>
      <c r="D132" s="8">
        <v>21</v>
      </c>
      <c r="E132" s="8">
        <v>1274</v>
      </c>
      <c r="F132" s="8">
        <v>0.27</v>
      </c>
      <c r="G132" s="9">
        <v>1050</v>
      </c>
      <c r="H132" s="15">
        <f t="shared" si="2"/>
        <v>0.82417582417582413</v>
      </c>
      <c r="I132" s="15">
        <f>Table2[[#This Row],[Ad Spend]]/Table2[[#This Row],[Leads]]</f>
        <v>16.545454545454547</v>
      </c>
      <c r="J132" s="15">
        <f>Table2[[#This Row],[Ad Spend]]/Table2[[#This Row],[Conversions]]</f>
        <v>60.666666666666664</v>
      </c>
    </row>
    <row r="133" spans="1:10" x14ac:dyDescent="0.35">
      <c r="A133" s="17">
        <v>45333</v>
      </c>
      <c r="B133" s="10" t="s">
        <v>8</v>
      </c>
      <c r="C133" s="10">
        <v>126</v>
      </c>
      <c r="D133" s="10">
        <v>37</v>
      </c>
      <c r="E133" s="10">
        <v>536</v>
      </c>
      <c r="F133" s="10">
        <v>0.28999999999999998</v>
      </c>
      <c r="G133" s="11">
        <v>1850</v>
      </c>
      <c r="H133" s="15">
        <f t="shared" si="2"/>
        <v>3.4514925373134329</v>
      </c>
      <c r="I133" s="15">
        <f>Table2[[#This Row],[Ad Spend]]/Table2[[#This Row],[Leads]]</f>
        <v>4.253968253968254</v>
      </c>
      <c r="J133" s="15">
        <f>Table2[[#This Row],[Ad Spend]]/Table2[[#This Row],[Conversions]]</f>
        <v>14.486486486486486</v>
      </c>
    </row>
    <row r="134" spans="1:10" x14ac:dyDescent="0.35">
      <c r="A134" s="16">
        <v>45334</v>
      </c>
      <c r="B134" s="8" t="s">
        <v>8</v>
      </c>
      <c r="C134" s="8">
        <v>24</v>
      </c>
      <c r="D134" s="8">
        <v>40</v>
      </c>
      <c r="E134" s="8">
        <v>800</v>
      </c>
      <c r="F134" s="8">
        <v>1.67</v>
      </c>
      <c r="G134" s="9">
        <v>2000</v>
      </c>
      <c r="H134" s="15">
        <f t="shared" si="2"/>
        <v>2.5</v>
      </c>
      <c r="I134" s="15">
        <f>Table2[[#This Row],[Ad Spend]]/Table2[[#This Row],[Leads]]</f>
        <v>33.333333333333336</v>
      </c>
      <c r="J134" s="15">
        <f>Table2[[#This Row],[Ad Spend]]/Table2[[#This Row],[Conversions]]</f>
        <v>20</v>
      </c>
    </row>
    <row r="135" spans="1:10" x14ac:dyDescent="0.35">
      <c r="A135" s="17">
        <v>45335</v>
      </c>
      <c r="B135" s="10" t="s">
        <v>8</v>
      </c>
      <c r="C135" s="10">
        <v>50</v>
      </c>
      <c r="D135" s="10">
        <v>35</v>
      </c>
      <c r="E135" s="10">
        <v>1560</v>
      </c>
      <c r="F135" s="10">
        <v>0.7</v>
      </c>
      <c r="G135" s="11">
        <v>1750</v>
      </c>
      <c r="H135" s="15">
        <f t="shared" si="2"/>
        <v>1.1217948717948718</v>
      </c>
      <c r="I135" s="15">
        <f>Table2[[#This Row],[Ad Spend]]/Table2[[#This Row],[Leads]]</f>
        <v>31.2</v>
      </c>
      <c r="J135" s="15">
        <f>Table2[[#This Row],[Ad Spend]]/Table2[[#This Row],[Conversions]]</f>
        <v>44.571428571428569</v>
      </c>
    </row>
    <row r="136" spans="1:10" x14ac:dyDescent="0.35">
      <c r="A136" s="16">
        <v>45336</v>
      </c>
      <c r="B136" s="8" t="s">
        <v>8</v>
      </c>
      <c r="C136" s="8">
        <v>70</v>
      </c>
      <c r="D136" s="8">
        <v>33</v>
      </c>
      <c r="E136" s="8">
        <v>874</v>
      </c>
      <c r="F136" s="8">
        <v>0.47</v>
      </c>
      <c r="G136" s="9">
        <v>1650</v>
      </c>
      <c r="H136" s="15">
        <f t="shared" si="2"/>
        <v>1.8878718535469108</v>
      </c>
      <c r="I136" s="15">
        <f>Table2[[#This Row],[Ad Spend]]/Table2[[#This Row],[Leads]]</f>
        <v>12.485714285714286</v>
      </c>
      <c r="J136" s="15">
        <f>Table2[[#This Row],[Ad Spend]]/Table2[[#This Row],[Conversions]]</f>
        <v>26.484848484848484</v>
      </c>
    </row>
    <row r="137" spans="1:10" x14ac:dyDescent="0.35">
      <c r="A137" s="17">
        <v>45337</v>
      </c>
      <c r="B137" s="10" t="s">
        <v>8</v>
      </c>
      <c r="C137" s="10">
        <v>67</v>
      </c>
      <c r="D137" s="10">
        <v>27</v>
      </c>
      <c r="E137" s="10">
        <v>1265</v>
      </c>
      <c r="F137" s="10">
        <v>0.4</v>
      </c>
      <c r="G137" s="11">
        <v>1350</v>
      </c>
      <c r="H137" s="15">
        <f t="shared" si="2"/>
        <v>1.0671936758893281</v>
      </c>
      <c r="I137" s="15">
        <f>Table2[[#This Row],[Ad Spend]]/Table2[[#This Row],[Leads]]</f>
        <v>18.880597014925375</v>
      </c>
      <c r="J137" s="15">
        <f>Table2[[#This Row],[Ad Spend]]/Table2[[#This Row],[Conversions]]</f>
        <v>46.851851851851855</v>
      </c>
    </row>
    <row r="138" spans="1:10" x14ac:dyDescent="0.35">
      <c r="A138" s="16">
        <v>45338</v>
      </c>
      <c r="B138" s="8" t="s">
        <v>8</v>
      </c>
      <c r="C138" s="8">
        <v>66</v>
      </c>
      <c r="D138" s="8">
        <v>17</v>
      </c>
      <c r="E138" s="8">
        <v>1691</v>
      </c>
      <c r="F138" s="8">
        <v>0.26</v>
      </c>
      <c r="G138" s="9">
        <v>850</v>
      </c>
      <c r="H138" s="15">
        <f t="shared" si="2"/>
        <v>0.50266114725014788</v>
      </c>
      <c r="I138" s="15">
        <f>Table2[[#This Row],[Ad Spend]]/Table2[[#This Row],[Leads]]</f>
        <v>25.621212121212121</v>
      </c>
      <c r="J138" s="15">
        <f>Table2[[#This Row],[Ad Spend]]/Table2[[#This Row],[Conversions]]</f>
        <v>99.470588235294116</v>
      </c>
    </row>
    <row r="139" spans="1:10" x14ac:dyDescent="0.35">
      <c r="A139" s="17">
        <v>45339</v>
      </c>
      <c r="B139" s="10" t="s">
        <v>8</v>
      </c>
      <c r="C139" s="10">
        <v>79</v>
      </c>
      <c r="D139" s="10">
        <v>10</v>
      </c>
      <c r="E139" s="10">
        <v>1808</v>
      </c>
      <c r="F139" s="10">
        <v>0.13</v>
      </c>
      <c r="G139" s="11">
        <v>500</v>
      </c>
      <c r="H139" s="15">
        <f t="shared" si="2"/>
        <v>0.27654867256637167</v>
      </c>
      <c r="I139" s="15">
        <f>Table2[[#This Row],[Ad Spend]]/Table2[[#This Row],[Leads]]</f>
        <v>22.88607594936709</v>
      </c>
      <c r="J139" s="15">
        <f>Table2[[#This Row],[Ad Spend]]/Table2[[#This Row],[Conversions]]</f>
        <v>180.8</v>
      </c>
    </row>
    <row r="140" spans="1:10" x14ac:dyDescent="0.35">
      <c r="A140" s="16">
        <v>45340</v>
      </c>
      <c r="B140" s="8" t="s">
        <v>8</v>
      </c>
      <c r="C140" s="8">
        <v>134</v>
      </c>
      <c r="D140" s="8">
        <v>41</v>
      </c>
      <c r="E140" s="8">
        <v>1346</v>
      </c>
      <c r="F140" s="8">
        <v>0.31</v>
      </c>
      <c r="G140" s="9">
        <v>2050</v>
      </c>
      <c r="H140" s="15">
        <f t="shared" si="2"/>
        <v>1.5230312035661218</v>
      </c>
      <c r="I140" s="15">
        <f>Table2[[#This Row],[Ad Spend]]/Table2[[#This Row],[Leads]]</f>
        <v>10.044776119402986</v>
      </c>
      <c r="J140" s="15">
        <f>Table2[[#This Row],[Ad Spend]]/Table2[[#This Row],[Conversions]]</f>
        <v>32.829268292682926</v>
      </c>
    </row>
    <row r="141" spans="1:10" x14ac:dyDescent="0.35">
      <c r="A141" s="17">
        <v>45341</v>
      </c>
      <c r="B141" s="10" t="s">
        <v>8</v>
      </c>
      <c r="C141" s="10">
        <v>65</v>
      </c>
      <c r="D141" s="10">
        <v>15</v>
      </c>
      <c r="E141" s="10">
        <v>1626</v>
      </c>
      <c r="F141" s="10">
        <v>0.23</v>
      </c>
      <c r="G141" s="11">
        <v>750</v>
      </c>
      <c r="H141" s="15">
        <f t="shared" si="2"/>
        <v>0.46125461254612549</v>
      </c>
      <c r="I141" s="15">
        <f>Table2[[#This Row],[Ad Spend]]/Table2[[#This Row],[Leads]]</f>
        <v>25.015384615384615</v>
      </c>
      <c r="J141" s="15">
        <f>Table2[[#This Row],[Ad Spend]]/Table2[[#This Row],[Conversions]]</f>
        <v>108.4</v>
      </c>
    </row>
    <row r="142" spans="1:10" x14ac:dyDescent="0.35">
      <c r="A142" s="16">
        <v>45342</v>
      </c>
      <c r="B142" s="8" t="s">
        <v>8</v>
      </c>
      <c r="C142" s="8">
        <v>134</v>
      </c>
      <c r="D142" s="8">
        <v>8</v>
      </c>
      <c r="E142" s="8">
        <v>1767</v>
      </c>
      <c r="F142" s="8">
        <v>0.06</v>
      </c>
      <c r="G142" s="9">
        <v>400</v>
      </c>
      <c r="H142" s="15">
        <f t="shared" si="2"/>
        <v>0.22637238256932654</v>
      </c>
      <c r="I142" s="15">
        <f>Table2[[#This Row],[Ad Spend]]/Table2[[#This Row],[Leads]]</f>
        <v>13.186567164179104</v>
      </c>
      <c r="J142" s="15">
        <f>Table2[[#This Row],[Ad Spend]]/Table2[[#This Row],[Conversions]]</f>
        <v>220.875</v>
      </c>
    </row>
    <row r="143" spans="1:10" x14ac:dyDescent="0.35">
      <c r="A143" s="17">
        <v>45343</v>
      </c>
      <c r="B143" s="10" t="s">
        <v>8</v>
      </c>
      <c r="C143" s="10">
        <v>62</v>
      </c>
      <c r="D143" s="10">
        <v>11</v>
      </c>
      <c r="E143" s="10">
        <v>957</v>
      </c>
      <c r="F143" s="10">
        <v>0.18</v>
      </c>
      <c r="G143" s="11">
        <v>550</v>
      </c>
      <c r="H143" s="15">
        <f t="shared" si="2"/>
        <v>0.57471264367816088</v>
      </c>
      <c r="I143" s="15">
        <f>Table2[[#This Row],[Ad Spend]]/Table2[[#This Row],[Leads]]</f>
        <v>15.435483870967742</v>
      </c>
      <c r="J143" s="15">
        <f>Table2[[#This Row],[Ad Spend]]/Table2[[#This Row],[Conversions]]</f>
        <v>87</v>
      </c>
    </row>
    <row r="144" spans="1:10" x14ac:dyDescent="0.35">
      <c r="A144" s="16">
        <v>45344</v>
      </c>
      <c r="B144" s="8" t="s">
        <v>8</v>
      </c>
      <c r="C144" s="8">
        <v>57</v>
      </c>
      <c r="D144" s="8">
        <v>10</v>
      </c>
      <c r="E144" s="8">
        <v>418</v>
      </c>
      <c r="F144" s="8">
        <v>0.18</v>
      </c>
      <c r="G144" s="9">
        <v>500</v>
      </c>
      <c r="H144" s="15">
        <f t="shared" si="2"/>
        <v>1.1961722488038278</v>
      </c>
      <c r="I144" s="15">
        <f>Table2[[#This Row],[Ad Spend]]/Table2[[#This Row],[Leads]]</f>
        <v>7.333333333333333</v>
      </c>
      <c r="J144" s="15">
        <f>Table2[[#This Row],[Ad Spend]]/Table2[[#This Row],[Conversions]]</f>
        <v>41.8</v>
      </c>
    </row>
    <row r="145" spans="1:10" x14ac:dyDescent="0.35">
      <c r="A145" s="17">
        <v>45345</v>
      </c>
      <c r="B145" s="10" t="s">
        <v>8</v>
      </c>
      <c r="C145" s="10">
        <v>129</v>
      </c>
      <c r="D145" s="10">
        <v>10</v>
      </c>
      <c r="E145" s="10">
        <v>1292</v>
      </c>
      <c r="F145" s="10">
        <v>0.08</v>
      </c>
      <c r="G145" s="11">
        <v>500</v>
      </c>
      <c r="H145" s="15">
        <f t="shared" si="2"/>
        <v>0.38699690402476783</v>
      </c>
      <c r="I145" s="15">
        <f>Table2[[#This Row],[Ad Spend]]/Table2[[#This Row],[Leads]]</f>
        <v>10.015503875968992</v>
      </c>
      <c r="J145" s="15">
        <f>Table2[[#This Row],[Ad Spend]]/Table2[[#This Row],[Conversions]]</f>
        <v>129.19999999999999</v>
      </c>
    </row>
    <row r="146" spans="1:10" x14ac:dyDescent="0.35">
      <c r="A146" s="16">
        <v>45346</v>
      </c>
      <c r="B146" s="8" t="s">
        <v>8</v>
      </c>
      <c r="C146" s="8">
        <v>89</v>
      </c>
      <c r="D146" s="8">
        <v>46</v>
      </c>
      <c r="E146" s="8">
        <v>718</v>
      </c>
      <c r="F146" s="8">
        <v>0.52</v>
      </c>
      <c r="G146" s="9">
        <v>2300</v>
      </c>
      <c r="H146" s="15">
        <f t="shared" si="2"/>
        <v>3.2033426183844012</v>
      </c>
      <c r="I146" s="15">
        <f>Table2[[#This Row],[Ad Spend]]/Table2[[#This Row],[Leads]]</f>
        <v>8.0674157303370784</v>
      </c>
      <c r="J146" s="15">
        <f>Table2[[#This Row],[Ad Spend]]/Table2[[#This Row],[Conversions]]</f>
        <v>15.608695652173912</v>
      </c>
    </row>
    <row r="147" spans="1:10" x14ac:dyDescent="0.35">
      <c r="A147" s="17">
        <v>45347</v>
      </c>
      <c r="B147" s="10" t="s">
        <v>8</v>
      </c>
      <c r="C147" s="10">
        <v>76</v>
      </c>
      <c r="D147" s="10">
        <v>16</v>
      </c>
      <c r="E147" s="10">
        <v>1752</v>
      </c>
      <c r="F147" s="10">
        <v>0.21</v>
      </c>
      <c r="G147" s="11">
        <v>800</v>
      </c>
      <c r="H147" s="15">
        <f t="shared" si="2"/>
        <v>0.45662100456621002</v>
      </c>
      <c r="I147" s="15">
        <f>Table2[[#This Row],[Ad Spend]]/Table2[[#This Row],[Leads]]</f>
        <v>23.05263157894737</v>
      </c>
      <c r="J147" s="15">
        <f>Table2[[#This Row],[Ad Spend]]/Table2[[#This Row],[Conversions]]</f>
        <v>109.5</v>
      </c>
    </row>
    <row r="148" spans="1:10" x14ac:dyDescent="0.35">
      <c r="A148" s="16">
        <v>45348</v>
      </c>
      <c r="B148" s="8" t="s">
        <v>8</v>
      </c>
      <c r="C148" s="8">
        <v>49</v>
      </c>
      <c r="D148" s="8">
        <v>5</v>
      </c>
      <c r="E148" s="8">
        <v>1481</v>
      </c>
      <c r="F148" s="8">
        <v>0.1</v>
      </c>
      <c r="G148" s="9">
        <v>250</v>
      </c>
      <c r="H148" s="15">
        <f t="shared" si="2"/>
        <v>0.16880486158001351</v>
      </c>
      <c r="I148" s="15">
        <f>Table2[[#This Row],[Ad Spend]]/Table2[[#This Row],[Leads]]</f>
        <v>30.224489795918366</v>
      </c>
      <c r="J148" s="15">
        <f>Table2[[#This Row],[Ad Spend]]/Table2[[#This Row],[Conversions]]</f>
        <v>296.2</v>
      </c>
    </row>
    <row r="149" spans="1:10" x14ac:dyDescent="0.35">
      <c r="A149" s="17">
        <v>45349</v>
      </c>
      <c r="B149" s="10" t="s">
        <v>8</v>
      </c>
      <c r="C149" s="10">
        <v>112</v>
      </c>
      <c r="D149" s="10">
        <v>38</v>
      </c>
      <c r="E149" s="10">
        <v>837</v>
      </c>
      <c r="F149" s="10">
        <v>0.34</v>
      </c>
      <c r="G149" s="11">
        <v>1900</v>
      </c>
      <c r="H149" s="15">
        <f t="shared" si="2"/>
        <v>2.2700119474313021</v>
      </c>
      <c r="I149" s="15">
        <f>Table2[[#This Row],[Ad Spend]]/Table2[[#This Row],[Leads]]</f>
        <v>7.4732142857142856</v>
      </c>
      <c r="J149" s="15">
        <f>Table2[[#This Row],[Ad Spend]]/Table2[[#This Row],[Conversions]]</f>
        <v>22.026315789473685</v>
      </c>
    </row>
    <row r="150" spans="1:10" x14ac:dyDescent="0.35">
      <c r="A150" s="16">
        <v>45350</v>
      </c>
      <c r="B150" s="8" t="s">
        <v>8</v>
      </c>
      <c r="C150" s="8">
        <v>127</v>
      </c>
      <c r="D150" s="8">
        <v>45</v>
      </c>
      <c r="E150" s="8">
        <v>119</v>
      </c>
      <c r="F150" s="8">
        <v>0.35</v>
      </c>
      <c r="G150" s="9">
        <v>2250</v>
      </c>
      <c r="H150" s="15">
        <f t="shared" si="2"/>
        <v>18.907563025210084</v>
      </c>
      <c r="I150" s="15">
        <f>Table2[[#This Row],[Ad Spend]]/Table2[[#This Row],[Leads]]</f>
        <v>0.93700787401574803</v>
      </c>
      <c r="J150" s="15">
        <f>Table2[[#This Row],[Ad Spend]]/Table2[[#This Row],[Conversions]]</f>
        <v>2.6444444444444444</v>
      </c>
    </row>
    <row r="151" spans="1:10" x14ac:dyDescent="0.35">
      <c r="A151" s="17">
        <v>45351</v>
      </c>
      <c r="B151" s="10" t="s">
        <v>8</v>
      </c>
      <c r="C151" s="10">
        <v>59</v>
      </c>
      <c r="D151" s="10">
        <v>44</v>
      </c>
      <c r="E151" s="10">
        <v>456</v>
      </c>
      <c r="F151" s="10">
        <v>0.75</v>
      </c>
      <c r="G151" s="11">
        <v>2200</v>
      </c>
      <c r="H151" s="15">
        <f t="shared" si="2"/>
        <v>4.8245614035087723</v>
      </c>
      <c r="I151" s="15">
        <f>Table2[[#This Row],[Ad Spend]]/Table2[[#This Row],[Leads]]</f>
        <v>7.7288135593220337</v>
      </c>
      <c r="J151" s="15">
        <f>Table2[[#This Row],[Ad Spend]]/Table2[[#This Row],[Conversions]]</f>
        <v>10.363636363636363</v>
      </c>
    </row>
    <row r="152" spans="1:10" x14ac:dyDescent="0.35">
      <c r="A152" s="16">
        <v>45352</v>
      </c>
      <c r="B152" s="8" t="s">
        <v>8</v>
      </c>
      <c r="C152" s="8">
        <v>131</v>
      </c>
      <c r="D152" s="8">
        <v>33</v>
      </c>
      <c r="E152" s="8">
        <v>1595</v>
      </c>
      <c r="F152" s="8">
        <v>0.25</v>
      </c>
      <c r="G152" s="9">
        <v>1650</v>
      </c>
      <c r="H152" s="15">
        <f t="shared" si="2"/>
        <v>1.0344827586206897</v>
      </c>
      <c r="I152" s="15">
        <f>Table2[[#This Row],[Ad Spend]]/Table2[[#This Row],[Leads]]</f>
        <v>12.175572519083969</v>
      </c>
      <c r="J152" s="15">
        <f>Table2[[#This Row],[Ad Spend]]/Table2[[#This Row],[Conversions]]</f>
        <v>48.333333333333336</v>
      </c>
    </row>
    <row r="153" spans="1:10" x14ac:dyDescent="0.35">
      <c r="A153" s="17">
        <v>45353</v>
      </c>
      <c r="B153" s="10" t="s">
        <v>8</v>
      </c>
      <c r="C153" s="10">
        <v>96</v>
      </c>
      <c r="D153" s="10">
        <v>36</v>
      </c>
      <c r="E153" s="10">
        <v>1158</v>
      </c>
      <c r="F153" s="10">
        <v>0.38</v>
      </c>
      <c r="G153" s="11">
        <v>1800</v>
      </c>
      <c r="H153" s="15">
        <f t="shared" si="2"/>
        <v>1.5544041450777202</v>
      </c>
      <c r="I153" s="15">
        <f>Table2[[#This Row],[Ad Spend]]/Table2[[#This Row],[Leads]]</f>
        <v>12.0625</v>
      </c>
      <c r="J153" s="15">
        <f>Table2[[#This Row],[Ad Spend]]/Table2[[#This Row],[Conversions]]</f>
        <v>32.166666666666664</v>
      </c>
    </row>
    <row r="154" spans="1:10" x14ac:dyDescent="0.35">
      <c r="A154" s="16">
        <v>45354</v>
      </c>
      <c r="B154" s="8" t="s">
        <v>8</v>
      </c>
      <c r="C154" s="8">
        <v>43</v>
      </c>
      <c r="D154" s="8">
        <v>28</v>
      </c>
      <c r="E154" s="8">
        <v>1392</v>
      </c>
      <c r="F154" s="8">
        <v>0.65</v>
      </c>
      <c r="G154" s="9">
        <v>1400</v>
      </c>
      <c r="H154" s="15">
        <f t="shared" si="2"/>
        <v>1.0057471264367817</v>
      </c>
      <c r="I154" s="15">
        <f>Table2[[#This Row],[Ad Spend]]/Table2[[#This Row],[Leads]]</f>
        <v>32.372093023255815</v>
      </c>
      <c r="J154" s="15">
        <f>Table2[[#This Row],[Ad Spend]]/Table2[[#This Row],[Conversions]]</f>
        <v>49.714285714285715</v>
      </c>
    </row>
    <row r="155" spans="1:10" x14ac:dyDescent="0.35">
      <c r="A155" s="17">
        <v>45355</v>
      </c>
      <c r="B155" s="10" t="s">
        <v>8</v>
      </c>
      <c r="C155" s="10">
        <v>38</v>
      </c>
      <c r="D155" s="10">
        <v>25</v>
      </c>
      <c r="E155" s="10">
        <v>508</v>
      </c>
      <c r="F155" s="10">
        <v>0.66</v>
      </c>
      <c r="G155" s="11">
        <v>1250</v>
      </c>
      <c r="H155" s="15">
        <f t="shared" si="2"/>
        <v>2.4606299212598426</v>
      </c>
      <c r="I155" s="15">
        <f>Table2[[#This Row],[Ad Spend]]/Table2[[#This Row],[Leads]]</f>
        <v>13.368421052631579</v>
      </c>
      <c r="J155" s="15">
        <f>Table2[[#This Row],[Ad Spend]]/Table2[[#This Row],[Conversions]]</f>
        <v>20.32</v>
      </c>
    </row>
    <row r="156" spans="1:10" x14ac:dyDescent="0.35">
      <c r="A156" s="16">
        <v>45356</v>
      </c>
      <c r="B156" s="8" t="s">
        <v>8</v>
      </c>
      <c r="C156" s="8">
        <v>107</v>
      </c>
      <c r="D156" s="8">
        <v>14</v>
      </c>
      <c r="E156" s="8">
        <v>666</v>
      </c>
      <c r="F156" s="8">
        <v>0.13</v>
      </c>
      <c r="G156" s="9">
        <v>700</v>
      </c>
      <c r="H156" s="15">
        <f t="shared" si="2"/>
        <v>1.0510510510510511</v>
      </c>
      <c r="I156" s="15">
        <f>Table2[[#This Row],[Ad Spend]]/Table2[[#This Row],[Leads]]</f>
        <v>6.2242990654205608</v>
      </c>
      <c r="J156" s="15">
        <f>Table2[[#This Row],[Ad Spend]]/Table2[[#This Row],[Conversions]]</f>
        <v>47.571428571428569</v>
      </c>
    </row>
    <row r="157" spans="1:10" x14ac:dyDescent="0.35">
      <c r="A157" s="17">
        <v>45357</v>
      </c>
      <c r="B157" s="10" t="s">
        <v>8</v>
      </c>
      <c r="C157" s="10">
        <v>54</v>
      </c>
      <c r="D157" s="10">
        <v>30</v>
      </c>
      <c r="E157" s="10">
        <v>999</v>
      </c>
      <c r="F157" s="10">
        <v>0.56000000000000005</v>
      </c>
      <c r="G157" s="11">
        <v>1500</v>
      </c>
      <c r="H157" s="15">
        <f t="shared" si="2"/>
        <v>1.5015015015015014</v>
      </c>
      <c r="I157" s="15">
        <f>Table2[[#This Row],[Ad Spend]]/Table2[[#This Row],[Leads]]</f>
        <v>18.5</v>
      </c>
      <c r="J157" s="15">
        <f>Table2[[#This Row],[Ad Spend]]/Table2[[#This Row],[Conversions]]</f>
        <v>33.299999999999997</v>
      </c>
    </row>
    <row r="158" spans="1:10" x14ac:dyDescent="0.35">
      <c r="A158" s="16">
        <v>45358</v>
      </c>
      <c r="B158" s="8" t="s">
        <v>8</v>
      </c>
      <c r="C158" s="8">
        <v>50</v>
      </c>
      <c r="D158" s="8">
        <v>44</v>
      </c>
      <c r="E158" s="8">
        <v>800</v>
      </c>
      <c r="F158" s="8">
        <v>0.88</v>
      </c>
      <c r="G158" s="9">
        <v>2200</v>
      </c>
      <c r="H158" s="15">
        <f t="shared" si="2"/>
        <v>2.75</v>
      </c>
      <c r="I158" s="15">
        <f>Table2[[#This Row],[Ad Spend]]/Table2[[#This Row],[Leads]]</f>
        <v>16</v>
      </c>
      <c r="J158" s="15">
        <f>Table2[[#This Row],[Ad Spend]]/Table2[[#This Row],[Conversions]]</f>
        <v>18.181818181818183</v>
      </c>
    </row>
    <row r="159" spans="1:10" x14ac:dyDescent="0.35">
      <c r="A159" s="17">
        <v>45359</v>
      </c>
      <c r="B159" s="10" t="s">
        <v>8</v>
      </c>
      <c r="C159" s="10">
        <v>111</v>
      </c>
      <c r="D159" s="10">
        <v>20</v>
      </c>
      <c r="E159" s="10">
        <v>341</v>
      </c>
      <c r="F159" s="10">
        <v>0.18</v>
      </c>
      <c r="G159" s="11">
        <v>1000</v>
      </c>
      <c r="H159" s="15">
        <f t="shared" si="2"/>
        <v>2.9325513196480939</v>
      </c>
      <c r="I159" s="15">
        <f>Table2[[#This Row],[Ad Spend]]/Table2[[#This Row],[Leads]]</f>
        <v>3.0720720720720722</v>
      </c>
      <c r="J159" s="15">
        <f>Table2[[#This Row],[Ad Spend]]/Table2[[#This Row],[Conversions]]</f>
        <v>17.05</v>
      </c>
    </row>
    <row r="160" spans="1:10" x14ac:dyDescent="0.35">
      <c r="A160" s="16">
        <v>45360</v>
      </c>
      <c r="B160" s="8" t="s">
        <v>8</v>
      </c>
      <c r="C160" s="8">
        <v>26</v>
      </c>
      <c r="D160" s="8">
        <v>34</v>
      </c>
      <c r="E160" s="8">
        <v>286</v>
      </c>
      <c r="F160" s="8">
        <v>1.31</v>
      </c>
      <c r="G160" s="9">
        <v>1700</v>
      </c>
      <c r="H160" s="15">
        <f t="shared" si="2"/>
        <v>5.9440559440559442</v>
      </c>
      <c r="I160" s="15">
        <f>Table2[[#This Row],[Ad Spend]]/Table2[[#This Row],[Leads]]</f>
        <v>11</v>
      </c>
      <c r="J160" s="15">
        <f>Table2[[#This Row],[Ad Spend]]/Table2[[#This Row],[Conversions]]</f>
        <v>8.4117647058823533</v>
      </c>
    </row>
    <row r="161" spans="1:10" x14ac:dyDescent="0.35">
      <c r="A161" s="17">
        <v>45361</v>
      </c>
      <c r="B161" s="10" t="s">
        <v>8</v>
      </c>
      <c r="C161" s="10">
        <v>133</v>
      </c>
      <c r="D161" s="10">
        <v>26</v>
      </c>
      <c r="E161" s="10">
        <v>1592</v>
      </c>
      <c r="F161" s="10">
        <v>0.2</v>
      </c>
      <c r="G161" s="11">
        <v>1300</v>
      </c>
      <c r="H161" s="15">
        <f t="shared" si="2"/>
        <v>0.81658291457286436</v>
      </c>
      <c r="I161" s="15">
        <f>Table2[[#This Row],[Ad Spend]]/Table2[[#This Row],[Leads]]</f>
        <v>11.969924812030076</v>
      </c>
      <c r="J161" s="15">
        <f>Table2[[#This Row],[Ad Spend]]/Table2[[#This Row],[Conversions]]</f>
        <v>61.230769230769234</v>
      </c>
    </row>
    <row r="162" spans="1:10" x14ac:dyDescent="0.35">
      <c r="A162" s="16">
        <v>45362</v>
      </c>
      <c r="B162" s="8" t="s">
        <v>8</v>
      </c>
      <c r="C162" s="8">
        <v>122</v>
      </c>
      <c r="D162" s="8">
        <v>48</v>
      </c>
      <c r="E162" s="8">
        <v>616</v>
      </c>
      <c r="F162" s="8">
        <v>0.39</v>
      </c>
      <c r="G162" s="9">
        <v>2400</v>
      </c>
      <c r="H162" s="15">
        <f t="shared" si="2"/>
        <v>3.8961038961038961</v>
      </c>
      <c r="I162" s="15">
        <f>Table2[[#This Row],[Ad Spend]]/Table2[[#This Row],[Leads]]</f>
        <v>5.0491803278688527</v>
      </c>
      <c r="J162" s="15">
        <f>Table2[[#This Row],[Ad Spend]]/Table2[[#This Row],[Conversions]]</f>
        <v>12.833333333333334</v>
      </c>
    </row>
    <row r="163" spans="1:10" x14ac:dyDescent="0.35">
      <c r="A163" s="17">
        <v>45363</v>
      </c>
      <c r="B163" s="10" t="s">
        <v>8</v>
      </c>
      <c r="C163" s="10">
        <v>88</v>
      </c>
      <c r="D163" s="10">
        <v>17</v>
      </c>
      <c r="E163" s="10">
        <v>962</v>
      </c>
      <c r="F163" s="10">
        <v>0.19</v>
      </c>
      <c r="G163" s="11">
        <v>850</v>
      </c>
      <c r="H163" s="15">
        <f t="shared" si="2"/>
        <v>0.88357588357588357</v>
      </c>
      <c r="I163" s="15">
        <f>Table2[[#This Row],[Ad Spend]]/Table2[[#This Row],[Leads]]</f>
        <v>10.931818181818182</v>
      </c>
      <c r="J163" s="15">
        <f>Table2[[#This Row],[Ad Spend]]/Table2[[#This Row],[Conversions]]</f>
        <v>56.588235294117645</v>
      </c>
    </row>
    <row r="164" spans="1:10" x14ac:dyDescent="0.35">
      <c r="A164" s="16">
        <v>45364</v>
      </c>
      <c r="B164" s="8" t="s">
        <v>8</v>
      </c>
      <c r="C164" s="8">
        <v>84</v>
      </c>
      <c r="D164" s="8">
        <v>24</v>
      </c>
      <c r="E164" s="8">
        <v>1669</v>
      </c>
      <c r="F164" s="8">
        <v>0.28999999999999998</v>
      </c>
      <c r="G164" s="9">
        <v>1200</v>
      </c>
      <c r="H164" s="15">
        <f t="shared" si="2"/>
        <v>0.7189934092270821</v>
      </c>
      <c r="I164" s="15">
        <f>Table2[[#This Row],[Ad Spend]]/Table2[[#This Row],[Leads]]</f>
        <v>19.86904761904762</v>
      </c>
      <c r="J164" s="15">
        <f>Table2[[#This Row],[Ad Spend]]/Table2[[#This Row],[Conversions]]</f>
        <v>69.541666666666671</v>
      </c>
    </row>
    <row r="165" spans="1:10" x14ac:dyDescent="0.35">
      <c r="A165" s="17">
        <v>45365</v>
      </c>
      <c r="B165" s="10" t="s">
        <v>8</v>
      </c>
      <c r="C165" s="10">
        <v>116</v>
      </c>
      <c r="D165" s="10">
        <v>14</v>
      </c>
      <c r="E165" s="10">
        <v>105</v>
      </c>
      <c r="F165" s="10">
        <v>0.12</v>
      </c>
      <c r="G165" s="11">
        <v>700</v>
      </c>
      <c r="H165" s="15">
        <f t="shared" si="2"/>
        <v>6.666666666666667</v>
      </c>
      <c r="I165" s="15">
        <f>Table2[[#This Row],[Ad Spend]]/Table2[[#This Row],[Leads]]</f>
        <v>0.90517241379310343</v>
      </c>
      <c r="J165" s="15">
        <f>Table2[[#This Row],[Ad Spend]]/Table2[[#This Row],[Conversions]]</f>
        <v>7.5</v>
      </c>
    </row>
    <row r="166" spans="1:10" x14ac:dyDescent="0.35">
      <c r="A166" s="16">
        <v>45366</v>
      </c>
      <c r="B166" s="8" t="s">
        <v>8</v>
      </c>
      <c r="C166" s="8">
        <v>120</v>
      </c>
      <c r="D166" s="8">
        <v>8</v>
      </c>
      <c r="E166" s="8">
        <v>315</v>
      </c>
      <c r="F166" s="8">
        <v>7.0000000000000007E-2</v>
      </c>
      <c r="G166" s="9">
        <v>400</v>
      </c>
      <c r="H166" s="15">
        <f t="shared" si="2"/>
        <v>1.2698412698412698</v>
      </c>
      <c r="I166" s="15">
        <f>Table2[[#This Row],[Ad Spend]]/Table2[[#This Row],[Leads]]</f>
        <v>2.625</v>
      </c>
      <c r="J166" s="15">
        <f>Table2[[#This Row],[Ad Spend]]/Table2[[#This Row],[Conversions]]</f>
        <v>39.375</v>
      </c>
    </row>
    <row r="167" spans="1:10" x14ac:dyDescent="0.35">
      <c r="A167" s="17">
        <v>45367</v>
      </c>
      <c r="B167" s="10" t="s">
        <v>8</v>
      </c>
      <c r="C167" s="10">
        <v>109</v>
      </c>
      <c r="D167" s="10">
        <v>29</v>
      </c>
      <c r="E167" s="10">
        <v>1940</v>
      </c>
      <c r="F167" s="10">
        <v>0.27</v>
      </c>
      <c r="G167" s="11">
        <v>1450</v>
      </c>
      <c r="H167" s="15">
        <f t="shared" si="2"/>
        <v>0.74742268041237114</v>
      </c>
      <c r="I167" s="15">
        <f>Table2[[#This Row],[Ad Spend]]/Table2[[#This Row],[Leads]]</f>
        <v>17.798165137614678</v>
      </c>
      <c r="J167" s="15">
        <f>Table2[[#This Row],[Ad Spend]]/Table2[[#This Row],[Conversions]]</f>
        <v>66.896551724137936</v>
      </c>
    </row>
    <row r="168" spans="1:10" x14ac:dyDescent="0.35">
      <c r="A168" s="16">
        <v>45368</v>
      </c>
      <c r="B168" s="8" t="s">
        <v>8</v>
      </c>
      <c r="C168" s="8">
        <v>125</v>
      </c>
      <c r="D168" s="8">
        <v>37</v>
      </c>
      <c r="E168" s="8">
        <v>647</v>
      </c>
      <c r="F168" s="8">
        <v>0.3</v>
      </c>
      <c r="G168" s="9">
        <v>1850</v>
      </c>
      <c r="H168" s="15">
        <f t="shared" si="2"/>
        <v>2.8593508500772797</v>
      </c>
      <c r="I168" s="15">
        <f>Table2[[#This Row],[Ad Spend]]/Table2[[#This Row],[Leads]]</f>
        <v>5.1760000000000002</v>
      </c>
      <c r="J168" s="15">
        <f>Table2[[#This Row],[Ad Spend]]/Table2[[#This Row],[Conversions]]</f>
        <v>17.486486486486488</v>
      </c>
    </row>
    <row r="169" spans="1:10" x14ac:dyDescent="0.35">
      <c r="A169" s="17">
        <v>45369</v>
      </c>
      <c r="B169" s="10" t="s">
        <v>8</v>
      </c>
      <c r="C169" s="10">
        <v>129</v>
      </c>
      <c r="D169" s="10">
        <v>41</v>
      </c>
      <c r="E169" s="10">
        <v>625</v>
      </c>
      <c r="F169" s="10">
        <v>0.32</v>
      </c>
      <c r="G169" s="11">
        <v>2050</v>
      </c>
      <c r="H169" s="15">
        <f t="shared" si="2"/>
        <v>3.28</v>
      </c>
      <c r="I169" s="15">
        <f>Table2[[#This Row],[Ad Spend]]/Table2[[#This Row],[Leads]]</f>
        <v>4.8449612403100772</v>
      </c>
      <c r="J169" s="15">
        <f>Table2[[#This Row],[Ad Spend]]/Table2[[#This Row],[Conversions]]</f>
        <v>15.24390243902439</v>
      </c>
    </row>
    <row r="170" spans="1:10" x14ac:dyDescent="0.35">
      <c r="A170" s="16">
        <v>45370</v>
      </c>
      <c r="B170" s="8" t="s">
        <v>8</v>
      </c>
      <c r="C170" s="8">
        <v>139</v>
      </c>
      <c r="D170" s="8">
        <v>12</v>
      </c>
      <c r="E170" s="8">
        <v>1510</v>
      </c>
      <c r="F170" s="8">
        <v>0.09</v>
      </c>
      <c r="G170" s="9">
        <v>600</v>
      </c>
      <c r="H170" s="15">
        <f t="shared" si="2"/>
        <v>0.39735099337748342</v>
      </c>
      <c r="I170" s="15">
        <f>Table2[[#This Row],[Ad Spend]]/Table2[[#This Row],[Leads]]</f>
        <v>10.863309352517986</v>
      </c>
      <c r="J170" s="15">
        <f>Table2[[#This Row],[Ad Spend]]/Table2[[#This Row],[Conversions]]</f>
        <v>125.83333333333333</v>
      </c>
    </row>
    <row r="171" spans="1:10" x14ac:dyDescent="0.35">
      <c r="A171" s="17">
        <v>45371</v>
      </c>
      <c r="B171" s="10" t="s">
        <v>8</v>
      </c>
      <c r="C171" s="10">
        <v>127</v>
      </c>
      <c r="D171" s="10">
        <v>35</v>
      </c>
      <c r="E171" s="10">
        <v>633</v>
      </c>
      <c r="F171" s="10">
        <v>0.28000000000000003</v>
      </c>
      <c r="G171" s="11">
        <v>1750</v>
      </c>
      <c r="H171" s="15">
        <f t="shared" si="2"/>
        <v>2.764612954186414</v>
      </c>
      <c r="I171" s="15">
        <f>Table2[[#This Row],[Ad Spend]]/Table2[[#This Row],[Leads]]</f>
        <v>4.984251968503937</v>
      </c>
      <c r="J171" s="15">
        <f>Table2[[#This Row],[Ad Spend]]/Table2[[#This Row],[Conversions]]</f>
        <v>18.085714285714285</v>
      </c>
    </row>
    <row r="172" spans="1:10" x14ac:dyDescent="0.35">
      <c r="A172" s="16">
        <v>45372</v>
      </c>
      <c r="B172" s="8" t="s">
        <v>8</v>
      </c>
      <c r="C172" s="8">
        <v>105</v>
      </c>
      <c r="D172" s="8">
        <v>42</v>
      </c>
      <c r="E172" s="8">
        <v>1717</v>
      </c>
      <c r="F172" s="8">
        <v>0.4</v>
      </c>
      <c r="G172" s="9">
        <v>2100</v>
      </c>
      <c r="H172" s="15">
        <f t="shared" si="2"/>
        <v>1.2230634828188702</v>
      </c>
      <c r="I172" s="15">
        <f>Table2[[#This Row],[Ad Spend]]/Table2[[#This Row],[Leads]]</f>
        <v>16.352380952380951</v>
      </c>
      <c r="J172" s="15">
        <f>Table2[[#This Row],[Ad Spend]]/Table2[[#This Row],[Conversions]]</f>
        <v>40.88095238095238</v>
      </c>
    </row>
    <row r="173" spans="1:10" x14ac:dyDescent="0.35">
      <c r="A173" s="17">
        <v>45373</v>
      </c>
      <c r="B173" s="10" t="s">
        <v>8</v>
      </c>
      <c r="C173" s="10">
        <v>49</v>
      </c>
      <c r="D173" s="10">
        <v>12</v>
      </c>
      <c r="E173" s="10">
        <v>1030</v>
      </c>
      <c r="F173" s="10">
        <v>0.24</v>
      </c>
      <c r="G173" s="11">
        <v>600</v>
      </c>
      <c r="H173" s="15">
        <f t="shared" si="2"/>
        <v>0.58252427184466016</v>
      </c>
      <c r="I173" s="15">
        <f>Table2[[#This Row],[Ad Spend]]/Table2[[#This Row],[Leads]]</f>
        <v>21.020408163265305</v>
      </c>
      <c r="J173" s="15">
        <f>Table2[[#This Row],[Ad Spend]]/Table2[[#This Row],[Conversions]]</f>
        <v>85.833333333333329</v>
      </c>
    </row>
    <row r="174" spans="1:10" x14ac:dyDescent="0.35">
      <c r="A174" s="16">
        <v>45374</v>
      </c>
      <c r="B174" s="8" t="s">
        <v>8</v>
      </c>
      <c r="C174" s="8">
        <v>105</v>
      </c>
      <c r="D174" s="8">
        <v>22</v>
      </c>
      <c r="E174" s="8">
        <v>1220</v>
      </c>
      <c r="F174" s="8">
        <v>0.21</v>
      </c>
      <c r="G174" s="9">
        <v>1100</v>
      </c>
      <c r="H174" s="15">
        <f t="shared" si="2"/>
        <v>0.90163934426229508</v>
      </c>
      <c r="I174" s="15">
        <f>Table2[[#This Row],[Ad Spend]]/Table2[[#This Row],[Leads]]</f>
        <v>11.619047619047619</v>
      </c>
      <c r="J174" s="15">
        <f>Table2[[#This Row],[Ad Spend]]/Table2[[#This Row],[Conversions]]</f>
        <v>55.454545454545453</v>
      </c>
    </row>
    <row r="175" spans="1:10" x14ac:dyDescent="0.35">
      <c r="A175" s="17">
        <v>45375</v>
      </c>
      <c r="B175" s="10" t="s">
        <v>8</v>
      </c>
      <c r="C175" s="10">
        <v>96</v>
      </c>
      <c r="D175" s="10">
        <v>33</v>
      </c>
      <c r="E175" s="10">
        <v>705</v>
      </c>
      <c r="F175" s="10">
        <v>0.34</v>
      </c>
      <c r="G175" s="11">
        <v>1650</v>
      </c>
      <c r="H175" s="15">
        <f t="shared" si="2"/>
        <v>2.3404255319148937</v>
      </c>
      <c r="I175" s="15">
        <f>Table2[[#This Row],[Ad Spend]]/Table2[[#This Row],[Leads]]</f>
        <v>7.34375</v>
      </c>
      <c r="J175" s="15">
        <f>Table2[[#This Row],[Ad Spend]]/Table2[[#This Row],[Conversions]]</f>
        <v>21.363636363636363</v>
      </c>
    </row>
    <row r="176" spans="1:10" x14ac:dyDescent="0.35">
      <c r="A176" s="16">
        <v>45376</v>
      </c>
      <c r="B176" s="8" t="s">
        <v>8</v>
      </c>
      <c r="C176" s="8">
        <v>98</v>
      </c>
      <c r="D176" s="8">
        <v>32</v>
      </c>
      <c r="E176" s="8">
        <v>1255</v>
      </c>
      <c r="F176" s="8">
        <v>0.33</v>
      </c>
      <c r="G176" s="9">
        <v>1600</v>
      </c>
      <c r="H176" s="15">
        <f t="shared" si="2"/>
        <v>1.2749003984063745</v>
      </c>
      <c r="I176" s="15">
        <f>Table2[[#This Row],[Ad Spend]]/Table2[[#This Row],[Leads]]</f>
        <v>12.806122448979592</v>
      </c>
      <c r="J176" s="15">
        <f>Table2[[#This Row],[Ad Spend]]/Table2[[#This Row],[Conversions]]</f>
        <v>39.21875</v>
      </c>
    </row>
    <row r="177" spans="1:10" x14ac:dyDescent="0.35">
      <c r="A177" s="17">
        <v>45377</v>
      </c>
      <c r="B177" s="10" t="s">
        <v>8</v>
      </c>
      <c r="C177" s="10">
        <v>25</v>
      </c>
      <c r="D177" s="10">
        <v>49</v>
      </c>
      <c r="E177" s="10">
        <v>590</v>
      </c>
      <c r="F177" s="10">
        <v>1.96</v>
      </c>
      <c r="G177" s="11">
        <v>2450</v>
      </c>
      <c r="H177" s="15">
        <f t="shared" si="2"/>
        <v>4.1525423728813555</v>
      </c>
      <c r="I177" s="15">
        <f>Table2[[#This Row],[Ad Spend]]/Table2[[#This Row],[Leads]]</f>
        <v>23.6</v>
      </c>
      <c r="J177" s="15">
        <f>Table2[[#This Row],[Ad Spend]]/Table2[[#This Row],[Conversions]]</f>
        <v>12.040816326530612</v>
      </c>
    </row>
    <row r="178" spans="1:10" x14ac:dyDescent="0.35">
      <c r="A178" s="16">
        <v>45378</v>
      </c>
      <c r="B178" s="8" t="s">
        <v>8</v>
      </c>
      <c r="C178" s="8">
        <v>117</v>
      </c>
      <c r="D178" s="8">
        <v>47</v>
      </c>
      <c r="E178" s="8">
        <v>1148</v>
      </c>
      <c r="F178" s="8">
        <v>0.4</v>
      </c>
      <c r="G178" s="9">
        <v>2350</v>
      </c>
      <c r="H178" s="15">
        <f t="shared" si="2"/>
        <v>2.0470383275261326</v>
      </c>
      <c r="I178" s="15">
        <f>Table2[[#This Row],[Ad Spend]]/Table2[[#This Row],[Leads]]</f>
        <v>9.8119658119658126</v>
      </c>
      <c r="J178" s="15">
        <f>Table2[[#This Row],[Ad Spend]]/Table2[[#This Row],[Conversions]]</f>
        <v>24.425531914893618</v>
      </c>
    </row>
    <row r="179" spans="1:10" x14ac:dyDescent="0.35">
      <c r="A179" s="17">
        <v>45379</v>
      </c>
      <c r="B179" s="10" t="s">
        <v>8</v>
      </c>
      <c r="C179" s="10">
        <v>96</v>
      </c>
      <c r="D179" s="10">
        <v>46</v>
      </c>
      <c r="E179" s="10">
        <v>1905</v>
      </c>
      <c r="F179" s="10">
        <v>0.48</v>
      </c>
      <c r="G179" s="11">
        <v>2300</v>
      </c>
      <c r="H179" s="15">
        <f t="shared" si="2"/>
        <v>1.2073490813648293</v>
      </c>
      <c r="I179" s="15">
        <f>Table2[[#This Row],[Ad Spend]]/Table2[[#This Row],[Leads]]</f>
        <v>19.84375</v>
      </c>
      <c r="J179" s="15">
        <f>Table2[[#This Row],[Ad Spend]]/Table2[[#This Row],[Conversions]]</f>
        <v>41.413043478260867</v>
      </c>
    </row>
    <row r="180" spans="1:10" x14ac:dyDescent="0.35">
      <c r="A180" s="16">
        <v>45380</v>
      </c>
      <c r="B180" s="8" t="s">
        <v>8</v>
      </c>
      <c r="C180" s="8">
        <v>99</v>
      </c>
      <c r="D180" s="8">
        <v>13</v>
      </c>
      <c r="E180" s="8">
        <v>527</v>
      </c>
      <c r="F180" s="8">
        <v>0.13</v>
      </c>
      <c r="G180" s="9">
        <v>650</v>
      </c>
      <c r="H180" s="15">
        <f t="shared" si="2"/>
        <v>1.2333965844402277</v>
      </c>
      <c r="I180" s="15">
        <f>Table2[[#This Row],[Ad Spend]]/Table2[[#This Row],[Leads]]</f>
        <v>5.3232323232323235</v>
      </c>
      <c r="J180" s="15">
        <f>Table2[[#This Row],[Ad Spend]]/Table2[[#This Row],[Conversions]]</f>
        <v>40.53846153846154</v>
      </c>
    </row>
    <row r="181" spans="1:10" x14ac:dyDescent="0.35">
      <c r="A181" s="17">
        <v>45381</v>
      </c>
      <c r="B181" s="10" t="s">
        <v>8</v>
      </c>
      <c r="C181" s="10">
        <v>132</v>
      </c>
      <c r="D181" s="10">
        <v>15</v>
      </c>
      <c r="E181" s="10">
        <v>713</v>
      </c>
      <c r="F181" s="10">
        <v>0.11</v>
      </c>
      <c r="G181" s="11">
        <v>750</v>
      </c>
      <c r="H181" s="15">
        <f t="shared" si="2"/>
        <v>1.0518934081346423</v>
      </c>
      <c r="I181" s="15">
        <f>Table2[[#This Row],[Ad Spend]]/Table2[[#This Row],[Leads]]</f>
        <v>5.4015151515151514</v>
      </c>
      <c r="J181" s="15">
        <f>Table2[[#This Row],[Ad Spend]]/Table2[[#This Row],[Conversions]]</f>
        <v>47.533333333333331</v>
      </c>
    </row>
    <row r="182" spans="1:10" x14ac:dyDescent="0.35">
      <c r="A182" s="16">
        <v>45292</v>
      </c>
      <c r="B182" s="8" t="s">
        <v>9</v>
      </c>
      <c r="C182" s="8">
        <v>141</v>
      </c>
      <c r="D182" s="8">
        <v>34</v>
      </c>
      <c r="E182" s="8">
        <v>1666</v>
      </c>
      <c r="F182" s="8">
        <v>0.24</v>
      </c>
      <c r="G182" s="9">
        <v>1700</v>
      </c>
      <c r="H182" s="15">
        <f t="shared" si="2"/>
        <v>1.0204081632653061</v>
      </c>
      <c r="I182" s="15">
        <f>Table2[[#This Row],[Ad Spend]]/Table2[[#This Row],[Leads]]</f>
        <v>11.815602836879433</v>
      </c>
      <c r="J182" s="15">
        <f>Table2[[#This Row],[Ad Spend]]/Table2[[#This Row],[Conversions]]</f>
        <v>49</v>
      </c>
    </row>
    <row r="183" spans="1:10" x14ac:dyDescent="0.35">
      <c r="A183" s="17">
        <v>45293</v>
      </c>
      <c r="B183" s="10" t="s">
        <v>9</v>
      </c>
      <c r="C183" s="10">
        <v>73</v>
      </c>
      <c r="D183" s="10">
        <v>25</v>
      </c>
      <c r="E183" s="10">
        <v>131</v>
      </c>
      <c r="F183" s="10">
        <v>0.34</v>
      </c>
      <c r="G183" s="11">
        <v>1250</v>
      </c>
      <c r="H183" s="15">
        <f t="shared" si="2"/>
        <v>9.5419847328244281</v>
      </c>
      <c r="I183" s="15">
        <f>Table2[[#This Row],[Ad Spend]]/Table2[[#This Row],[Leads]]</f>
        <v>1.7945205479452055</v>
      </c>
      <c r="J183" s="15">
        <f>Table2[[#This Row],[Ad Spend]]/Table2[[#This Row],[Conversions]]</f>
        <v>5.24</v>
      </c>
    </row>
    <row r="184" spans="1:10" x14ac:dyDescent="0.35">
      <c r="A184" s="16">
        <v>45294</v>
      </c>
      <c r="B184" s="8" t="s">
        <v>9</v>
      </c>
      <c r="C184" s="8">
        <v>56</v>
      </c>
      <c r="D184" s="8">
        <v>33</v>
      </c>
      <c r="E184" s="8">
        <v>229</v>
      </c>
      <c r="F184" s="8">
        <v>0.59</v>
      </c>
      <c r="G184" s="9">
        <v>1650</v>
      </c>
      <c r="H184" s="15">
        <f t="shared" si="2"/>
        <v>7.2052401746724888</v>
      </c>
      <c r="I184" s="15">
        <f>Table2[[#This Row],[Ad Spend]]/Table2[[#This Row],[Leads]]</f>
        <v>4.0892857142857144</v>
      </c>
      <c r="J184" s="15">
        <f>Table2[[#This Row],[Ad Spend]]/Table2[[#This Row],[Conversions]]</f>
        <v>6.9393939393939394</v>
      </c>
    </row>
    <row r="185" spans="1:10" x14ac:dyDescent="0.35">
      <c r="A185" s="17">
        <v>45295</v>
      </c>
      <c r="B185" s="10" t="s">
        <v>9</v>
      </c>
      <c r="C185" s="10">
        <v>149</v>
      </c>
      <c r="D185" s="10">
        <v>6</v>
      </c>
      <c r="E185" s="10">
        <v>358</v>
      </c>
      <c r="F185" s="10">
        <v>0.04</v>
      </c>
      <c r="G185" s="11">
        <v>300</v>
      </c>
      <c r="H185" s="15">
        <f t="shared" si="2"/>
        <v>0.83798882681564246</v>
      </c>
      <c r="I185" s="15">
        <f>Table2[[#This Row],[Ad Spend]]/Table2[[#This Row],[Leads]]</f>
        <v>2.4026845637583891</v>
      </c>
      <c r="J185" s="15">
        <f>Table2[[#This Row],[Ad Spend]]/Table2[[#This Row],[Conversions]]</f>
        <v>59.666666666666664</v>
      </c>
    </row>
    <row r="186" spans="1:10" x14ac:dyDescent="0.35">
      <c r="A186" s="16">
        <v>45296</v>
      </c>
      <c r="B186" s="8" t="s">
        <v>9</v>
      </c>
      <c r="C186" s="8">
        <v>32</v>
      </c>
      <c r="D186" s="8">
        <v>32</v>
      </c>
      <c r="E186" s="8">
        <v>300</v>
      </c>
      <c r="F186" s="8">
        <v>1</v>
      </c>
      <c r="G186" s="9">
        <v>1600</v>
      </c>
      <c r="H186" s="15">
        <f t="shared" si="2"/>
        <v>5.333333333333333</v>
      </c>
      <c r="I186" s="15">
        <f>Table2[[#This Row],[Ad Spend]]/Table2[[#This Row],[Leads]]</f>
        <v>9.375</v>
      </c>
      <c r="J186" s="15">
        <f>Table2[[#This Row],[Ad Spend]]/Table2[[#This Row],[Conversions]]</f>
        <v>9.375</v>
      </c>
    </row>
    <row r="187" spans="1:10" x14ac:dyDescent="0.35">
      <c r="A187" s="17">
        <v>45297</v>
      </c>
      <c r="B187" s="10" t="s">
        <v>9</v>
      </c>
      <c r="C187" s="10">
        <v>147</v>
      </c>
      <c r="D187" s="10">
        <v>17</v>
      </c>
      <c r="E187" s="10">
        <v>161</v>
      </c>
      <c r="F187" s="10">
        <v>0.12</v>
      </c>
      <c r="G187" s="11">
        <v>850</v>
      </c>
      <c r="H187" s="15">
        <f t="shared" si="2"/>
        <v>5.2795031055900621</v>
      </c>
      <c r="I187" s="15">
        <f>Table2[[#This Row],[Ad Spend]]/Table2[[#This Row],[Leads]]</f>
        <v>1.0952380952380953</v>
      </c>
      <c r="J187" s="15">
        <f>Table2[[#This Row],[Ad Spend]]/Table2[[#This Row],[Conversions]]</f>
        <v>9.4705882352941178</v>
      </c>
    </row>
    <row r="188" spans="1:10" x14ac:dyDescent="0.35">
      <c r="A188" s="16">
        <v>45298</v>
      </c>
      <c r="B188" s="8" t="s">
        <v>9</v>
      </c>
      <c r="C188" s="8">
        <v>139</v>
      </c>
      <c r="D188" s="8">
        <v>9</v>
      </c>
      <c r="E188" s="8">
        <v>565</v>
      </c>
      <c r="F188" s="8">
        <v>0.06</v>
      </c>
      <c r="G188" s="9">
        <v>450</v>
      </c>
      <c r="H188" s="15">
        <f t="shared" si="2"/>
        <v>0.79646017699115046</v>
      </c>
      <c r="I188" s="15">
        <f>Table2[[#This Row],[Ad Spend]]/Table2[[#This Row],[Leads]]</f>
        <v>4.0647482014388485</v>
      </c>
      <c r="J188" s="15">
        <f>Table2[[#This Row],[Ad Spend]]/Table2[[#This Row],[Conversions]]</f>
        <v>62.777777777777779</v>
      </c>
    </row>
    <row r="189" spans="1:10" x14ac:dyDescent="0.35">
      <c r="A189" s="17">
        <v>45299</v>
      </c>
      <c r="B189" s="10" t="s">
        <v>9</v>
      </c>
      <c r="C189" s="10">
        <v>145</v>
      </c>
      <c r="D189" s="10">
        <v>40</v>
      </c>
      <c r="E189" s="10">
        <v>271</v>
      </c>
      <c r="F189" s="10">
        <v>0.28000000000000003</v>
      </c>
      <c r="G189" s="11">
        <v>2000</v>
      </c>
      <c r="H189" s="15">
        <f t="shared" si="2"/>
        <v>7.3800738007380078</v>
      </c>
      <c r="I189" s="15">
        <f>Table2[[#This Row],[Ad Spend]]/Table2[[#This Row],[Leads]]</f>
        <v>1.8689655172413793</v>
      </c>
      <c r="J189" s="15">
        <f>Table2[[#This Row],[Ad Spend]]/Table2[[#This Row],[Conversions]]</f>
        <v>6.7750000000000004</v>
      </c>
    </row>
    <row r="190" spans="1:10" x14ac:dyDescent="0.35">
      <c r="A190" s="16">
        <v>45300</v>
      </c>
      <c r="B190" s="8" t="s">
        <v>9</v>
      </c>
      <c r="C190" s="8">
        <v>88</v>
      </c>
      <c r="D190" s="8">
        <v>41</v>
      </c>
      <c r="E190" s="8">
        <v>748</v>
      </c>
      <c r="F190" s="8">
        <v>0.47</v>
      </c>
      <c r="G190" s="9">
        <v>2050</v>
      </c>
      <c r="H190" s="15">
        <f t="shared" si="2"/>
        <v>2.7406417112299466</v>
      </c>
      <c r="I190" s="15">
        <f>Table2[[#This Row],[Ad Spend]]/Table2[[#This Row],[Leads]]</f>
        <v>8.5</v>
      </c>
      <c r="J190" s="15">
        <f>Table2[[#This Row],[Ad Spend]]/Table2[[#This Row],[Conversions]]</f>
        <v>18.243902439024389</v>
      </c>
    </row>
    <row r="191" spans="1:10" x14ac:dyDescent="0.35">
      <c r="A191" s="17">
        <v>45301</v>
      </c>
      <c r="B191" s="10" t="s">
        <v>9</v>
      </c>
      <c r="C191" s="10">
        <v>99</v>
      </c>
      <c r="D191" s="10">
        <v>25</v>
      </c>
      <c r="E191" s="10">
        <v>1391</v>
      </c>
      <c r="F191" s="10">
        <v>0.25</v>
      </c>
      <c r="G191" s="11">
        <v>1250</v>
      </c>
      <c r="H191" s="15">
        <f t="shared" si="2"/>
        <v>0.89863407620416969</v>
      </c>
      <c r="I191" s="15">
        <f>Table2[[#This Row],[Ad Spend]]/Table2[[#This Row],[Leads]]</f>
        <v>14.05050505050505</v>
      </c>
      <c r="J191" s="15">
        <f>Table2[[#This Row],[Ad Spend]]/Table2[[#This Row],[Conversions]]</f>
        <v>55.64</v>
      </c>
    </row>
    <row r="192" spans="1:10" x14ac:dyDescent="0.35">
      <c r="A192" s="16">
        <v>45302</v>
      </c>
      <c r="B192" s="8" t="s">
        <v>9</v>
      </c>
      <c r="C192" s="8">
        <v>55</v>
      </c>
      <c r="D192" s="8">
        <v>14</v>
      </c>
      <c r="E192" s="8">
        <v>923</v>
      </c>
      <c r="F192" s="8">
        <v>0.25</v>
      </c>
      <c r="G192" s="9">
        <v>700</v>
      </c>
      <c r="H192" s="15">
        <f t="shared" si="2"/>
        <v>0.75839653304442034</v>
      </c>
      <c r="I192" s="15">
        <f>Table2[[#This Row],[Ad Spend]]/Table2[[#This Row],[Leads]]</f>
        <v>16.781818181818181</v>
      </c>
      <c r="J192" s="15">
        <f>Table2[[#This Row],[Ad Spend]]/Table2[[#This Row],[Conversions]]</f>
        <v>65.928571428571431</v>
      </c>
    </row>
    <row r="193" spans="1:10" x14ac:dyDescent="0.35">
      <c r="A193" s="17">
        <v>45303</v>
      </c>
      <c r="B193" s="10" t="s">
        <v>9</v>
      </c>
      <c r="C193" s="10">
        <v>79</v>
      </c>
      <c r="D193" s="10">
        <v>41</v>
      </c>
      <c r="E193" s="10">
        <v>1138</v>
      </c>
      <c r="F193" s="10">
        <v>0.52</v>
      </c>
      <c r="G193" s="11">
        <v>2050</v>
      </c>
      <c r="H193" s="15">
        <f t="shared" si="2"/>
        <v>1.8014059753954306</v>
      </c>
      <c r="I193" s="15">
        <f>Table2[[#This Row],[Ad Spend]]/Table2[[#This Row],[Leads]]</f>
        <v>14.405063291139241</v>
      </c>
      <c r="J193" s="15">
        <f>Table2[[#This Row],[Ad Spend]]/Table2[[#This Row],[Conversions]]</f>
        <v>27.756097560975611</v>
      </c>
    </row>
    <row r="194" spans="1:10" x14ac:dyDescent="0.35">
      <c r="A194" s="16">
        <v>45304</v>
      </c>
      <c r="B194" s="8" t="s">
        <v>9</v>
      </c>
      <c r="C194" s="8">
        <v>108</v>
      </c>
      <c r="D194" s="8">
        <v>31</v>
      </c>
      <c r="E194" s="8">
        <v>1579</v>
      </c>
      <c r="F194" s="8">
        <v>0.28999999999999998</v>
      </c>
      <c r="G194" s="9">
        <v>1550</v>
      </c>
      <c r="H194" s="15">
        <f t="shared" si="2"/>
        <v>0.98163394553514882</v>
      </c>
      <c r="I194" s="15">
        <f>Table2[[#This Row],[Ad Spend]]/Table2[[#This Row],[Leads]]</f>
        <v>14.62037037037037</v>
      </c>
      <c r="J194" s="15">
        <f>Table2[[#This Row],[Ad Spend]]/Table2[[#This Row],[Conversions]]</f>
        <v>50.935483870967744</v>
      </c>
    </row>
    <row r="195" spans="1:10" x14ac:dyDescent="0.35">
      <c r="A195" s="17">
        <v>45305</v>
      </c>
      <c r="B195" s="10" t="s">
        <v>9</v>
      </c>
      <c r="C195" s="10">
        <v>58</v>
      </c>
      <c r="D195" s="10">
        <v>26</v>
      </c>
      <c r="E195" s="10">
        <v>429</v>
      </c>
      <c r="F195" s="10">
        <v>0.45</v>
      </c>
      <c r="G195" s="11">
        <v>1300</v>
      </c>
      <c r="H195" s="15">
        <f t="shared" ref="H195:H258" si="3">G195/E195</f>
        <v>3.0303030303030303</v>
      </c>
      <c r="I195" s="15">
        <f>Table2[[#This Row],[Ad Spend]]/Table2[[#This Row],[Leads]]</f>
        <v>7.3965517241379306</v>
      </c>
      <c r="J195" s="15">
        <f>Table2[[#This Row],[Ad Spend]]/Table2[[#This Row],[Conversions]]</f>
        <v>16.5</v>
      </c>
    </row>
    <row r="196" spans="1:10" x14ac:dyDescent="0.35">
      <c r="A196" s="16">
        <v>45306</v>
      </c>
      <c r="B196" s="8" t="s">
        <v>9</v>
      </c>
      <c r="C196" s="8">
        <v>32</v>
      </c>
      <c r="D196" s="8">
        <v>26</v>
      </c>
      <c r="E196" s="8">
        <v>119</v>
      </c>
      <c r="F196" s="8">
        <v>0.81</v>
      </c>
      <c r="G196" s="9">
        <v>1300</v>
      </c>
      <c r="H196" s="15">
        <f t="shared" si="3"/>
        <v>10.92436974789916</v>
      </c>
      <c r="I196" s="15">
        <f>Table2[[#This Row],[Ad Spend]]/Table2[[#This Row],[Leads]]</f>
        <v>3.71875</v>
      </c>
      <c r="J196" s="15">
        <f>Table2[[#This Row],[Ad Spend]]/Table2[[#This Row],[Conversions]]</f>
        <v>4.5769230769230766</v>
      </c>
    </row>
    <row r="197" spans="1:10" x14ac:dyDescent="0.35">
      <c r="A197" s="17">
        <v>45307</v>
      </c>
      <c r="B197" s="10" t="s">
        <v>9</v>
      </c>
      <c r="C197" s="10">
        <v>64</v>
      </c>
      <c r="D197" s="10">
        <v>6</v>
      </c>
      <c r="E197" s="10">
        <v>1220</v>
      </c>
      <c r="F197" s="10">
        <v>0.09</v>
      </c>
      <c r="G197" s="11">
        <v>300</v>
      </c>
      <c r="H197" s="15">
        <f t="shared" si="3"/>
        <v>0.24590163934426229</v>
      </c>
      <c r="I197" s="15">
        <f>Table2[[#This Row],[Ad Spend]]/Table2[[#This Row],[Leads]]</f>
        <v>19.0625</v>
      </c>
      <c r="J197" s="15">
        <f>Table2[[#This Row],[Ad Spend]]/Table2[[#This Row],[Conversions]]</f>
        <v>203.33333333333334</v>
      </c>
    </row>
    <row r="198" spans="1:10" x14ac:dyDescent="0.35">
      <c r="A198" s="16">
        <v>45308</v>
      </c>
      <c r="B198" s="8" t="s">
        <v>9</v>
      </c>
      <c r="C198" s="8">
        <v>89</v>
      </c>
      <c r="D198" s="8">
        <v>38</v>
      </c>
      <c r="E198" s="8">
        <v>1153</v>
      </c>
      <c r="F198" s="8">
        <v>0.43</v>
      </c>
      <c r="G198" s="9">
        <v>1900</v>
      </c>
      <c r="H198" s="15">
        <f t="shared" si="3"/>
        <v>1.647875108412836</v>
      </c>
      <c r="I198" s="15">
        <f>Table2[[#This Row],[Ad Spend]]/Table2[[#This Row],[Leads]]</f>
        <v>12.955056179775282</v>
      </c>
      <c r="J198" s="15">
        <f>Table2[[#This Row],[Ad Spend]]/Table2[[#This Row],[Conversions]]</f>
        <v>30.342105263157894</v>
      </c>
    </row>
    <row r="199" spans="1:10" x14ac:dyDescent="0.35">
      <c r="A199" s="17">
        <v>45309</v>
      </c>
      <c r="B199" s="10" t="s">
        <v>9</v>
      </c>
      <c r="C199" s="10">
        <v>27</v>
      </c>
      <c r="D199" s="10">
        <v>26</v>
      </c>
      <c r="E199" s="10">
        <v>806</v>
      </c>
      <c r="F199" s="10">
        <v>0.96</v>
      </c>
      <c r="G199" s="11">
        <v>1300</v>
      </c>
      <c r="H199" s="15">
        <f t="shared" si="3"/>
        <v>1.6129032258064515</v>
      </c>
      <c r="I199" s="15">
        <f>Table2[[#This Row],[Ad Spend]]/Table2[[#This Row],[Leads]]</f>
        <v>29.851851851851851</v>
      </c>
      <c r="J199" s="15">
        <f>Table2[[#This Row],[Ad Spend]]/Table2[[#This Row],[Conversions]]</f>
        <v>31</v>
      </c>
    </row>
    <row r="200" spans="1:10" x14ac:dyDescent="0.35">
      <c r="A200" s="16">
        <v>45310</v>
      </c>
      <c r="B200" s="8" t="s">
        <v>9</v>
      </c>
      <c r="C200" s="8">
        <v>62</v>
      </c>
      <c r="D200" s="8">
        <v>8</v>
      </c>
      <c r="E200" s="8">
        <v>1282</v>
      </c>
      <c r="F200" s="8">
        <v>0.13</v>
      </c>
      <c r="G200" s="9">
        <v>400</v>
      </c>
      <c r="H200" s="15">
        <f t="shared" si="3"/>
        <v>0.31201248049921998</v>
      </c>
      <c r="I200" s="15">
        <f>Table2[[#This Row],[Ad Spend]]/Table2[[#This Row],[Leads]]</f>
        <v>20.677419354838708</v>
      </c>
      <c r="J200" s="15">
        <f>Table2[[#This Row],[Ad Spend]]/Table2[[#This Row],[Conversions]]</f>
        <v>160.25</v>
      </c>
    </row>
    <row r="201" spans="1:10" x14ac:dyDescent="0.35">
      <c r="A201" s="17">
        <v>45311</v>
      </c>
      <c r="B201" s="10" t="s">
        <v>9</v>
      </c>
      <c r="C201" s="10">
        <v>33</v>
      </c>
      <c r="D201" s="10">
        <v>27</v>
      </c>
      <c r="E201" s="10">
        <v>282</v>
      </c>
      <c r="F201" s="10">
        <v>0.82</v>
      </c>
      <c r="G201" s="11">
        <v>1350</v>
      </c>
      <c r="H201" s="15">
        <f t="shared" si="3"/>
        <v>4.7872340425531918</v>
      </c>
      <c r="I201" s="15">
        <f>Table2[[#This Row],[Ad Spend]]/Table2[[#This Row],[Leads]]</f>
        <v>8.545454545454545</v>
      </c>
      <c r="J201" s="15">
        <f>Table2[[#This Row],[Ad Spend]]/Table2[[#This Row],[Conversions]]</f>
        <v>10.444444444444445</v>
      </c>
    </row>
    <row r="202" spans="1:10" x14ac:dyDescent="0.35">
      <c r="A202" s="16">
        <v>45312</v>
      </c>
      <c r="B202" s="8" t="s">
        <v>9</v>
      </c>
      <c r="C202" s="8">
        <v>133</v>
      </c>
      <c r="D202" s="8">
        <v>21</v>
      </c>
      <c r="E202" s="8">
        <v>1824</v>
      </c>
      <c r="F202" s="8">
        <v>0.16</v>
      </c>
      <c r="G202" s="9">
        <v>1050</v>
      </c>
      <c r="H202" s="15">
        <f t="shared" si="3"/>
        <v>0.57565789473684215</v>
      </c>
      <c r="I202" s="15">
        <f>Table2[[#This Row],[Ad Spend]]/Table2[[#This Row],[Leads]]</f>
        <v>13.714285714285714</v>
      </c>
      <c r="J202" s="15">
        <f>Table2[[#This Row],[Ad Spend]]/Table2[[#This Row],[Conversions]]</f>
        <v>86.857142857142861</v>
      </c>
    </row>
    <row r="203" spans="1:10" x14ac:dyDescent="0.35">
      <c r="A203" s="17">
        <v>45313</v>
      </c>
      <c r="B203" s="10" t="s">
        <v>9</v>
      </c>
      <c r="C203" s="10">
        <v>148</v>
      </c>
      <c r="D203" s="10">
        <v>16</v>
      </c>
      <c r="E203" s="10">
        <v>398</v>
      </c>
      <c r="F203" s="10">
        <v>0.11</v>
      </c>
      <c r="G203" s="11">
        <v>800</v>
      </c>
      <c r="H203" s="15">
        <f t="shared" si="3"/>
        <v>2.0100502512562812</v>
      </c>
      <c r="I203" s="15">
        <f>Table2[[#This Row],[Ad Spend]]/Table2[[#This Row],[Leads]]</f>
        <v>2.689189189189189</v>
      </c>
      <c r="J203" s="15">
        <f>Table2[[#This Row],[Ad Spend]]/Table2[[#This Row],[Conversions]]</f>
        <v>24.875</v>
      </c>
    </row>
    <row r="204" spans="1:10" x14ac:dyDescent="0.35">
      <c r="A204" s="16">
        <v>45314</v>
      </c>
      <c r="B204" s="8" t="s">
        <v>9</v>
      </c>
      <c r="C204" s="8">
        <v>21</v>
      </c>
      <c r="D204" s="8">
        <v>13</v>
      </c>
      <c r="E204" s="8">
        <v>1732</v>
      </c>
      <c r="F204" s="8">
        <v>0.62</v>
      </c>
      <c r="G204" s="9">
        <v>650</v>
      </c>
      <c r="H204" s="15">
        <f t="shared" si="3"/>
        <v>0.37528868360277134</v>
      </c>
      <c r="I204" s="15">
        <f>Table2[[#This Row],[Ad Spend]]/Table2[[#This Row],[Leads]]</f>
        <v>82.476190476190482</v>
      </c>
      <c r="J204" s="15">
        <f>Table2[[#This Row],[Ad Spend]]/Table2[[#This Row],[Conversions]]</f>
        <v>133.23076923076923</v>
      </c>
    </row>
    <row r="205" spans="1:10" x14ac:dyDescent="0.35">
      <c r="A205" s="17">
        <v>45315</v>
      </c>
      <c r="B205" s="10" t="s">
        <v>9</v>
      </c>
      <c r="C205" s="10">
        <v>32</v>
      </c>
      <c r="D205" s="10">
        <v>48</v>
      </c>
      <c r="E205" s="10">
        <v>1161</v>
      </c>
      <c r="F205" s="10">
        <v>1.5</v>
      </c>
      <c r="G205" s="11">
        <v>2400</v>
      </c>
      <c r="H205" s="15">
        <f t="shared" si="3"/>
        <v>2.0671834625322996</v>
      </c>
      <c r="I205" s="15">
        <f>Table2[[#This Row],[Ad Spend]]/Table2[[#This Row],[Leads]]</f>
        <v>36.28125</v>
      </c>
      <c r="J205" s="15">
        <f>Table2[[#This Row],[Ad Spend]]/Table2[[#This Row],[Conversions]]</f>
        <v>24.1875</v>
      </c>
    </row>
    <row r="206" spans="1:10" x14ac:dyDescent="0.35">
      <c r="A206" s="16">
        <v>45316</v>
      </c>
      <c r="B206" s="8" t="s">
        <v>9</v>
      </c>
      <c r="C206" s="8">
        <v>106</v>
      </c>
      <c r="D206" s="8">
        <v>43</v>
      </c>
      <c r="E206" s="8">
        <v>163</v>
      </c>
      <c r="F206" s="8">
        <v>0.41</v>
      </c>
      <c r="G206" s="9">
        <v>2150</v>
      </c>
      <c r="H206" s="15">
        <f t="shared" si="3"/>
        <v>13.190184049079754</v>
      </c>
      <c r="I206" s="15">
        <f>Table2[[#This Row],[Ad Spend]]/Table2[[#This Row],[Leads]]</f>
        <v>1.5377358490566038</v>
      </c>
      <c r="J206" s="15">
        <f>Table2[[#This Row],[Ad Spend]]/Table2[[#This Row],[Conversions]]</f>
        <v>3.7906976744186047</v>
      </c>
    </row>
    <row r="207" spans="1:10" x14ac:dyDescent="0.35">
      <c r="A207" s="17">
        <v>45317</v>
      </c>
      <c r="B207" s="10" t="s">
        <v>9</v>
      </c>
      <c r="C207" s="10">
        <v>87</v>
      </c>
      <c r="D207" s="10">
        <v>6</v>
      </c>
      <c r="E207" s="10">
        <v>202</v>
      </c>
      <c r="F207" s="10">
        <v>7.0000000000000007E-2</v>
      </c>
      <c r="G207" s="11">
        <v>300</v>
      </c>
      <c r="H207" s="15">
        <f t="shared" si="3"/>
        <v>1.4851485148514851</v>
      </c>
      <c r="I207" s="15">
        <f>Table2[[#This Row],[Ad Spend]]/Table2[[#This Row],[Leads]]</f>
        <v>2.3218390804597702</v>
      </c>
      <c r="J207" s="15">
        <f>Table2[[#This Row],[Ad Spend]]/Table2[[#This Row],[Conversions]]</f>
        <v>33.666666666666664</v>
      </c>
    </row>
    <row r="208" spans="1:10" x14ac:dyDescent="0.35">
      <c r="A208" s="16">
        <v>45318</v>
      </c>
      <c r="B208" s="8" t="s">
        <v>9</v>
      </c>
      <c r="C208" s="8">
        <v>104</v>
      </c>
      <c r="D208" s="8">
        <v>8</v>
      </c>
      <c r="E208" s="8">
        <v>1176</v>
      </c>
      <c r="F208" s="8">
        <v>0.08</v>
      </c>
      <c r="G208" s="9">
        <v>400</v>
      </c>
      <c r="H208" s="15">
        <f t="shared" si="3"/>
        <v>0.3401360544217687</v>
      </c>
      <c r="I208" s="15">
        <f>Table2[[#This Row],[Ad Spend]]/Table2[[#This Row],[Leads]]</f>
        <v>11.307692307692308</v>
      </c>
      <c r="J208" s="15">
        <f>Table2[[#This Row],[Ad Spend]]/Table2[[#This Row],[Conversions]]</f>
        <v>147</v>
      </c>
    </row>
    <row r="209" spans="1:10" x14ac:dyDescent="0.35">
      <c r="A209" s="17">
        <v>45319</v>
      </c>
      <c r="B209" s="10" t="s">
        <v>9</v>
      </c>
      <c r="C209" s="10">
        <v>40</v>
      </c>
      <c r="D209" s="10">
        <v>28</v>
      </c>
      <c r="E209" s="10">
        <v>1823</v>
      </c>
      <c r="F209" s="10">
        <v>0.7</v>
      </c>
      <c r="G209" s="11">
        <v>1400</v>
      </c>
      <c r="H209" s="15">
        <f t="shared" si="3"/>
        <v>0.76796489303346138</v>
      </c>
      <c r="I209" s="15">
        <f>Table2[[#This Row],[Ad Spend]]/Table2[[#This Row],[Leads]]</f>
        <v>45.575000000000003</v>
      </c>
      <c r="J209" s="15">
        <f>Table2[[#This Row],[Ad Spend]]/Table2[[#This Row],[Conversions]]</f>
        <v>65.107142857142861</v>
      </c>
    </row>
    <row r="210" spans="1:10" x14ac:dyDescent="0.35">
      <c r="A210" s="16">
        <v>45320</v>
      </c>
      <c r="B210" s="8" t="s">
        <v>9</v>
      </c>
      <c r="C210" s="8">
        <v>124</v>
      </c>
      <c r="D210" s="8">
        <v>19</v>
      </c>
      <c r="E210" s="8">
        <v>1082</v>
      </c>
      <c r="F210" s="8">
        <v>0.15</v>
      </c>
      <c r="G210" s="9">
        <v>950</v>
      </c>
      <c r="H210" s="15">
        <f t="shared" si="3"/>
        <v>0.87800369685767099</v>
      </c>
      <c r="I210" s="15">
        <f>Table2[[#This Row],[Ad Spend]]/Table2[[#This Row],[Leads]]</f>
        <v>8.7258064516129039</v>
      </c>
      <c r="J210" s="15">
        <f>Table2[[#This Row],[Ad Spend]]/Table2[[#This Row],[Conversions]]</f>
        <v>56.94736842105263</v>
      </c>
    </row>
    <row r="211" spans="1:10" x14ac:dyDescent="0.35">
      <c r="A211" s="17">
        <v>45321</v>
      </c>
      <c r="B211" s="10" t="s">
        <v>9</v>
      </c>
      <c r="C211" s="10">
        <v>116</v>
      </c>
      <c r="D211" s="10">
        <v>42</v>
      </c>
      <c r="E211" s="10">
        <v>589</v>
      </c>
      <c r="F211" s="10">
        <v>0.36</v>
      </c>
      <c r="G211" s="11">
        <v>2100</v>
      </c>
      <c r="H211" s="15">
        <f t="shared" si="3"/>
        <v>3.5653650254668929</v>
      </c>
      <c r="I211" s="15">
        <f>Table2[[#This Row],[Ad Spend]]/Table2[[#This Row],[Leads]]</f>
        <v>5.0775862068965516</v>
      </c>
      <c r="J211" s="15">
        <f>Table2[[#This Row],[Ad Spend]]/Table2[[#This Row],[Conversions]]</f>
        <v>14.023809523809524</v>
      </c>
    </row>
    <row r="212" spans="1:10" x14ac:dyDescent="0.35">
      <c r="A212" s="16">
        <v>45322</v>
      </c>
      <c r="B212" s="8" t="s">
        <v>9</v>
      </c>
      <c r="C212" s="8">
        <v>129</v>
      </c>
      <c r="D212" s="8">
        <v>23</v>
      </c>
      <c r="E212" s="8">
        <v>1819</v>
      </c>
      <c r="F212" s="8">
        <v>0.18</v>
      </c>
      <c r="G212" s="9">
        <v>1150</v>
      </c>
      <c r="H212" s="15">
        <f t="shared" si="3"/>
        <v>0.63221550302363938</v>
      </c>
      <c r="I212" s="15">
        <f>Table2[[#This Row],[Ad Spend]]/Table2[[#This Row],[Leads]]</f>
        <v>14.10077519379845</v>
      </c>
      <c r="J212" s="15">
        <f>Table2[[#This Row],[Ad Spend]]/Table2[[#This Row],[Conversions]]</f>
        <v>79.086956521739125</v>
      </c>
    </row>
    <row r="213" spans="1:10" x14ac:dyDescent="0.35">
      <c r="A213" s="17">
        <v>45323</v>
      </c>
      <c r="B213" s="10" t="s">
        <v>9</v>
      </c>
      <c r="C213" s="10">
        <v>94</v>
      </c>
      <c r="D213" s="10">
        <v>6</v>
      </c>
      <c r="E213" s="10">
        <v>656</v>
      </c>
      <c r="F213" s="10">
        <v>0.06</v>
      </c>
      <c r="G213" s="11">
        <v>300</v>
      </c>
      <c r="H213" s="15">
        <f t="shared" si="3"/>
        <v>0.45731707317073172</v>
      </c>
      <c r="I213" s="15">
        <f>Table2[[#This Row],[Ad Spend]]/Table2[[#This Row],[Leads]]</f>
        <v>6.9787234042553195</v>
      </c>
      <c r="J213" s="15">
        <f>Table2[[#This Row],[Ad Spend]]/Table2[[#This Row],[Conversions]]</f>
        <v>109.33333333333333</v>
      </c>
    </row>
    <row r="214" spans="1:10" x14ac:dyDescent="0.35">
      <c r="A214" s="16">
        <v>45324</v>
      </c>
      <c r="B214" s="8" t="s">
        <v>9</v>
      </c>
      <c r="C214" s="8">
        <v>73</v>
      </c>
      <c r="D214" s="8">
        <v>33</v>
      </c>
      <c r="E214" s="8">
        <v>444</v>
      </c>
      <c r="F214" s="8">
        <v>0.45</v>
      </c>
      <c r="G214" s="9">
        <v>1650</v>
      </c>
      <c r="H214" s="15">
        <f t="shared" si="3"/>
        <v>3.7162162162162162</v>
      </c>
      <c r="I214" s="15">
        <f>Table2[[#This Row],[Ad Spend]]/Table2[[#This Row],[Leads]]</f>
        <v>6.0821917808219181</v>
      </c>
      <c r="J214" s="15">
        <f>Table2[[#This Row],[Ad Spend]]/Table2[[#This Row],[Conversions]]</f>
        <v>13.454545454545455</v>
      </c>
    </row>
    <row r="215" spans="1:10" x14ac:dyDescent="0.35">
      <c r="A215" s="17">
        <v>45325</v>
      </c>
      <c r="B215" s="10" t="s">
        <v>9</v>
      </c>
      <c r="C215" s="10">
        <v>85</v>
      </c>
      <c r="D215" s="10">
        <v>28</v>
      </c>
      <c r="E215" s="10">
        <v>210</v>
      </c>
      <c r="F215" s="10">
        <v>0.33</v>
      </c>
      <c r="G215" s="11">
        <v>1400</v>
      </c>
      <c r="H215" s="15">
        <f t="shared" si="3"/>
        <v>6.666666666666667</v>
      </c>
      <c r="I215" s="15">
        <f>Table2[[#This Row],[Ad Spend]]/Table2[[#This Row],[Leads]]</f>
        <v>2.4705882352941178</v>
      </c>
      <c r="J215" s="15">
        <f>Table2[[#This Row],[Ad Spend]]/Table2[[#This Row],[Conversions]]</f>
        <v>7.5</v>
      </c>
    </row>
    <row r="216" spans="1:10" x14ac:dyDescent="0.35">
      <c r="A216" s="16">
        <v>45326</v>
      </c>
      <c r="B216" s="8" t="s">
        <v>9</v>
      </c>
      <c r="C216" s="8">
        <v>66</v>
      </c>
      <c r="D216" s="8">
        <v>22</v>
      </c>
      <c r="E216" s="8">
        <v>841</v>
      </c>
      <c r="F216" s="8">
        <v>0.33</v>
      </c>
      <c r="G216" s="9">
        <v>1100</v>
      </c>
      <c r="H216" s="15">
        <f t="shared" si="3"/>
        <v>1.3079667063020215</v>
      </c>
      <c r="I216" s="15">
        <f>Table2[[#This Row],[Ad Spend]]/Table2[[#This Row],[Leads]]</f>
        <v>12.742424242424242</v>
      </c>
      <c r="J216" s="15">
        <f>Table2[[#This Row],[Ad Spend]]/Table2[[#This Row],[Conversions]]</f>
        <v>38.227272727272727</v>
      </c>
    </row>
    <row r="217" spans="1:10" x14ac:dyDescent="0.35">
      <c r="A217" s="17">
        <v>45327</v>
      </c>
      <c r="B217" s="10" t="s">
        <v>9</v>
      </c>
      <c r="C217" s="10">
        <v>100</v>
      </c>
      <c r="D217" s="10">
        <v>39</v>
      </c>
      <c r="E217" s="10">
        <v>1641</v>
      </c>
      <c r="F217" s="10">
        <v>0.39</v>
      </c>
      <c r="G217" s="11">
        <v>1950</v>
      </c>
      <c r="H217" s="15">
        <f t="shared" si="3"/>
        <v>1.1882998171846435</v>
      </c>
      <c r="I217" s="15">
        <f>Table2[[#This Row],[Ad Spend]]/Table2[[#This Row],[Leads]]</f>
        <v>16.41</v>
      </c>
      <c r="J217" s="15">
        <f>Table2[[#This Row],[Ad Spend]]/Table2[[#This Row],[Conversions]]</f>
        <v>42.07692307692308</v>
      </c>
    </row>
    <row r="218" spans="1:10" x14ac:dyDescent="0.35">
      <c r="A218" s="16">
        <v>45328</v>
      </c>
      <c r="B218" s="8" t="s">
        <v>9</v>
      </c>
      <c r="C218" s="8">
        <v>41</v>
      </c>
      <c r="D218" s="8">
        <v>29</v>
      </c>
      <c r="E218" s="8">
        <v>1672</v>
      </c>
      <c r="F218" s="8">
        <v>0.71</v>
      </c>
      <c r="G218" s="9">
        <v>1450</v>
      </c>
      <c r="H218" s="15">
        <f t="shared" si="3"/>
        <v>0.86722488038277512</v>
      </c>
      <c r="I218" s="15">
        <f>Table2[[#This Row],[Ad Spend]]/Table2[[#This Row],[Leads]]</f>
        <v>40.780487804878049</v>
      </c>
      <c r="J218" s="15">
        <f>Table2[[#This Row],[Ad Spend]]/Table2[[#This Row],[Conversions]]</f>
        <v>57.655172413793103</v>
      </c>
    </row>
    <row r="219" spans="1:10" x14ac:dyDescent="0.35">
      <c r="A219" s="17">
        <v>45329</v>
      </c>
      <c r="B219" s="10" t="s">
        <v>9</v>
      </c>
      <c r="C219" s="10">
        <v>91</v>
      </c>
      <c r="D219" s="10">
        <v>13</v>
      </c>
      <c r="E219" s="10">
        <v>1626</v>
      </c>
      <c r="F219" s="10">
        <v>0.14000000000000001</v>
      </c>
      <c r="G219" s="11">
        <v>650</v>
      </c>
      <c r="H219" s="15">
        <f t="shared" si="3"/>
        <v>0.39975399753997543</v>
      </c>
      <c r="I219" s="15">
        <f>Table2[[#This Row],[Ad Spend]]/Table2[[#This Row],[Leads]]</f>
        <v>17.868131868131869</v>
      </c>
      <c r="J219" s="15">
        <f>Table2[[#This Row],[Ad Spend]]/Table2[[#This Row],[Conversions]]</f>
        <v>125.07692307692308</v>
      </c>
    </row>
    <row r="220" spans="1:10" x14ac:dyDescent="0.35">
      <c r="A220" s="16">
        <v>45330</v>
      </c>
      <c r="B220" s="8" t="s">
        <v>9</v>
      </c>
      <c r="C220" s="8">
        <v>74</v>
      </c>
      <c r="D220" s="8">
        <v>22</v>
      </c>
      <c r="E220" s="8">
        <v>1135</v>
      </c>
      <c r="F220" s="8">
        <v>0.3</v>
      </c>
      <c r="G220" s="9">
        <v>1100</v>
      </c>
      <c r="H220" s="15">
        <f t="shared" si="3"/>
        <v>0.96916299559471364</v>
      </c>
      <c r="I220" s="15">
        <f>Table2[[#This Row],[Ad Spend]]/Table2[[#This Row],[Leads]]</f>
        <v>15.337837837837839</v>
      </c>
      <c r="J220" s="15">
        <f>Table2[[#This Row],[Ad Spend]]/Table2[[#This Row],[Conversions]]</f>
        <v>51.590909090909093</v>
      </c>
    </row>
    <row r="221" spans="1:10" x14ac:dyDescent="0.35">
      <c r="A221" s="17">
        <v>45331</v>
      </c>
      <c r="B221" s="10" t="s">
        <v>9</v>
      </c>
      <c r="C221" s="10">
        <v>48</v>
      </c>
      <c r="D221" s="10">
        <v>21</v>
      </c>
      <c r="E221" s="10">
        <v>1312</v>
      </c>
      <c r="F221" s="10">
        <v>0.44</v>
      </c>
      <c r="G221" s="11">
        <v>1050</v>
      </c>
      <c r="H221" s="15">
        <f t="shared" si="3"/>
        <v>0.80030487804878048</v>
      </c>
      <c r="I221" s="15">
        <f>Table2[[#This Row],[Ad Spend]]/Table2[[#This Row],[Leads]]</f>
        <v>27.333333333333332</v>
      </c>
      <c r="J221" s="15">
        <f>Table2[[#This Row],[Ad Spend]]/Table2[[#This Row],[Conversions]]</f>
        <v>62.476190476190474</v>
      </c>
    </row>
    <row r="222" spans="1:10" x14ac:dyDescent="0.35">
      <c r="A222" s="16">
        <v>45332</v>
      </c>
      <c r="B222" s="8" t="s">
        <v>9</v>
      </c>
      <c r="C222" s="8">
        <v>43</v>
      </c>
      <c r="D222" s="8">
        <v>24</v>
      </c>
      <c r="E222" s="8">
        <v>1129</v>
      </c>
      <c r="F222" s="8">
        <v>0.56000000000000005</v>
      </c>
      <c r="G222" s="9">
        <v>1200</v>
      </c>
      <c r="H222" s="15">
        <f t="shared" si="3"/>
        <v>1.0628875110717448</v>
      </c>
      <c r="I222" s="15">
        <f>Table2[[#This Row],[Ad Spend]]/Table2[[#This Row],[Leads]]</f>
        <v>26.255813953488371</v>
      </c>
      <c r="J222" s="15">
        <f>Table2[[#This Row],[Ad Spend]]/Table2[[#This Row],[Conversions]]</f>
        <v>47.041666666666664</v>
      </c>
    </row>
    <row r="223" spans="1:10" x14ac:dyDescent="0.35">
      <c r="A223" s="17">
        <v>45333</v>
      </c>
      <c r="B223" s="10" t="s">
        <v>9</v>
      </c>
      <c r="C223" s="10">
        <v>74</v>
      </c>
      <c r="D223" s="10">
        <v>37</v>
      </c>
      <c r="E223" s="10">
        <v>1471</v>
      </c>
      <c r="F223" s="10">
        <v>0.5</v>
      </c>
      <c r="G223" s="11">
        <v>1850</v>
      </c>
      <c r="H223" s="15">
        <f t="shared" si="3"/>
        <v>1.2576478585995921</v>
      </c>
      <c r="I223" s="15">
        <f>Table2[[#This Row],[Ad Spend]]/Table2[[#This Row],[Leads]]</f>
        <v>19.878378378378379</v>
      </c>
      <c r="J223" s="15">
        <f>Table2[[#This Row],[Ad Spend]]/Table2[[#This Row],[Conversions]]</f>
        <v>39.756756756756758</v>
      </c>
    </row>
    <row r="224" spans="1:10" x14ac:dyDescent="0.35">
      <c r="A224" s="16">
        <v>45334</v>
      </c>
      <c r="B224" s="8" t="s">
        <v>9</v>
      </c>
      <c r="C224" s="8">
        <v>41</v>
      </c>
      <c r="D224" s="8">
        <v>14</v>
      </c>
      <c r="E224" s="8">
        <v>570</v>
      </c>
      <c r="F224" s="8">
        <v>0.34</v>
      </c>
      <c r="G224" s="9">
        <v>700</v>
      </c>
      <c r="H224" s="15">
        <f t="shared" si="3"/>
        <v>1.2280701754385965</v>
      </c>
      <c r="I224" s="15">
        <f>Table2[[#This Row],[Ad Spend]]/Table2[[#This Row],[Leads]]</f>
        <v>13.902439024390244</v>
      </c>
      <c r="J224" s="15">
        <f>Table2[[#This Row],[Ad Spend]]/Table2[[#This Row],[Conversions]]</f>
        <v>40.714285714285715</v>
      </c>
    </row>
    <row r="225" spans="1:10" x14ac:dyDescent="0.35">
      <c r="A225" s="17">
        <v>45335</v>
      </c>
      <c r="B225" s="10" t="s">
        <v>9</v>
      </c>
      <c r="C225" s="10">
        <v>42</v>
      </c>
      <c r="D225" s="10">
        <v>40</v>
      </c>
      <c r="E225" s="10">
        <v>109</v>
      </c>
      <c r="F225" s="10">
        <v>0.95</v>
      </c>
      <c r="G225" s="11">
        <v>2000</v>
      </c>
      <c r="H225" s="15">
        <f t="shared" si="3"/>
        <v>18.348623853211009</v>
      </c>
      <c r="I225" s="15">
        <f>Table2[[#This Row],[Ad Spend]]/Table2[[#This Row],[Leads]]</f>
        <v>2.5952380952380953</v>
      </c>
      <c r="J225" s="15">
        <f>Table2[[#This Row],[Ad Spend]]/Table2[[#This Row],[Conversions]]</f>
        <v>2.7250000000000001</v>
      </c>
    </row>
    <row r="226" spans="1:10" x14ac:dyDescent="0.35">
      <c r="A226" s="16">
        <v>45336</v>
      </c>
      <c r="B226" s="8" t="s">
        <v>9</v>
      </c>
      <c r="C226" s="8">
        <v>110</v>
      </c>
      <c r="D226" s="8">
        <v>24</v>
      </c>
      <c r="E226" s="8">
        <v>354</v>
      </c>
      <c r="F226" s="8">
        <v>0.22</v>
      </c>
      <c r="G226" s="9">
        <v>1200</v>
      </c>
      <c r="H226" s="15">
        <f t="shared" si="3"/>
        <v>3.3898305084745761</v>
      </c>
      <c r="I226" s="15">
        <f>Table2[[#This Row],[Ad Spend]]/Table2[[#This Row],[Leads]]</f>
        <v>3.2181818181818183</v>
      </c>
      <c r="J226" s="15">
        <f>Table2[[#This Row],[Ad Spend]]/Table2[[#This Row],[Conversions]]</f>
        <v>14.75</v>
      </c>
    </row>
    <row r="227" spans="1:10" x14ac:dyDescent="0.35">
      <c r="A227" s="17">
        <v>45337</v>
      </c>
      <c r="B227" s="10" t="s">
        <v>9</v>
      </c>
      <c r="C227" s="10">
        <v>26</v>
      </c>
      <c r="D227" s="10">
        <v>42</v>
      </c>
      <c r="E227" s="10">
        <v>1636</v>
      </c>
      <c r="F227" s="10">
        <v>1.62</v>
      </c>
      <c r="G227" s="11">
        <v>2100</v>
      </c>
      <c r="H227" s="15">
        <f t="shared" si="3"/>
        <v>1.2836185819070904</v>
      </c>
      <c r="I227" s="15">
        <f>Table2[[#This Row],[Ad Spend]]/Table2[[#This Row],[Leads]]</f>
        <v>62.92307692307692</v>
      </c>
      <c r="J227" s="15">
        <f>Table2[[#This Row],[Ad Spend]]/Table2[[#This Row],[Conversions]]</f>
        <v>38.952380952380949</v>
      </c>
    </row>
    <row r="228" spans="1:10" x14ac:dyDescent="0.35">
      <c r="A228" s="16">
        <v>45338</v>
      </c>
      <c r="B228" s="8" t="s">
        <v>9</v>
      </c>
      <c r="C228" s="8">
        <v>39</v>
      </c>
      <c r="D228" s="8">
        <v>47</v>
      </c>
      <c r="E228" s="8">
        <v>636</v>
      </c>
      <c r="F228" s="8">
        <v>1.21</v>
      </c>
      <c r="G228" s="9">
        <v>2350</v>
      </c>
      <c r="H228" s="15">
        <f t="shared" si="3"/>
        <v>3.6949685534591197</v>
      </c>
      <c r="I228" s="15">
        <f>Table2[[#This Row],[Ad Spend]]/Table2[[#This Row],[Leads]]</f>
        <v>16.307692307692307</v>
      </c>
      <c r="J228" s="15">
        <f>Table2[[#This Row],[Ad Spend]]/Table2[[#This Row],[Conversions]]</f>
        <v>13.531914893617021</v>
      </c>
    </row>
    <row r="229" spans="1:10" x14ac:dyDescent="0.35">
      <c r="A229" s="17">
        <v>45339</v>
      </c>
      <c r="B229" s="10" t="s">
        <v>9</v>
      </c>
      <c r="C229" s="10">
        <v>50</v>
      </c>
      <c r="D229" s="10">
        <v>13</v>
      </c>
      <c r="E229" s="10">
        <v>1434</v>
      </c>
      <c r="F229" s="10">
        <v>0.26</v>
      </c>
      <c r="G229" s="11">
        <v>650</v>
      </c>
      <c r="H229" s="15">
        <f t="shared" si="3"/>
        <v>0.45327754532775455</v>
      </c>
      <c r="I229" s="15">
        <f>Table2[[#This Row],[Ad Spend]]/Table2[[#This Row],[Leads]]</f>
        <v>28.68</v>
      </c>
      <c r="J229" s="15">
        <f>Table2[[#This Row],[Ad Spend]]/Table2[[#This Row],[Conversions]]</f>
        <v>110.30769230769231</v>
      </c>
    </row>
    <row r="230" spans="1:10" x14ac:dyDescent="0.35">
      <c r="A230" s="16">
        <v>45340</v>
      </c>
      <c r="B230" s="8" t="s">
        <v>9</v>
      </c>
      <c r="C230" s="8">
        <v>116</v>
      </c>
      <c r="D230" s="8">
        <v>21</v>
      </c>
      <c r="E230" s="8">
        <v>1265</v>
      </c>
      <c r="F230" s="8">
        <v>0.18</v>
      </c>
      <c r="G230" s="9">
        <v>1050</v>
      </c>
      <c r="H230" s="15">
        <f t="shared" si="3"/>
        <v>0.83003952569169959</v>
      </c>
      <c r="I230" s="15">
        <f>Table2[[#This Row],[Ad Spend]]/Table2[[#This Row],[Leads]]</f>
        <v>10.905172413793103</v>
      </c>
      <c r="J230" s="15">
        <f>Table2[[#This Row],[Ad Spend]]/Table2[[#This Row],[Conversions]]</f>
        <v>60.238095238095241</v>
      </c>
    </row>
    <row r="231" spans="1:10" x14ac:dyDescent="0.35">
      <c r="A231" s="17">
        <v>45341</v>
      </c>
      <c r="B231" s="10" t="s">
        <v>9</v>
      </c>
      <c r="C231" s="10">
        <v>39</v>
      </c>
      <c r="D231" s="10">
        <v>9</v>
      </c>
      <c r="E231" s="10">
        <v>342</v>
      </c>
      <c r="F231" s="10">
        <v>0.23</v>
      </c>
      <c r="G231" s="11">
        <v>450</v>
      </c>
      <c r="H231" s="15">
        <f t="shared" si="3"/>
        <v>1.3157894736842106</v>
      </c>
      <c r="I231" s="15">
        <f>Table2[[#This Row],[Ad Spend]]/Table2[[#This Row],[Leads]]</f>
        <v>8.7692307692307701</v>
      </c>
      <c r="J231" s="15">
        <f>Table2[[#This Row],[Ad Spend]]/Table2[[#This Row],[Conversions]]</f>
        <v>38</v>
      </c>
    </row>
    <row r="232" spans="1:10" x14ac:dyDescent="0.35">
      <c r="A232" s="16">
        <v>45342</v>
      </c>
      <c r="B232" s="8" t="s">
        <v>9</v>
      </c>
      <c r="C232" s="8">
        <v>48</v>
      </c>
      <c r="D232" s="8">
        <v>15</v>
      </c>
      <c r="E232" s="8">
        <v>1091</v>
      </c>
      <c r="F232" s="8">
        <v>0.31</v>
      </c>
      <c r="G232" s="9">
        <v>750</v>
      </c>
      <c r="H232" s="15">
        <f t="shared" si="3"/>
        <v>0.68744271310724103</v>
      </c>
      <c r="I232" s="15">
        <f>Table2[[#This Row],[Ad Spend]]/Table2[[#This Row],[Leads]]</f>
        <v>22.729166666666668</v>
      </c>
      <c r="J232" s="15">
        <f>Table2[[#This Row],[Ad Spend]]/Table2[[#This Row],[Conversions]]</f>
        <v>72.733333333333334</v>
      </c>
    </row>
    <row r="233" spans="1:10" x14ac:dyDescent="0.35">
      <c r="A233" s="17">
        <v>45343</v>
      </c>
      <c r="B233" s="10" t="s">
        <v>9</v>
      </c>
      <c r="C233" s="10">
        <v>34</v>
      </c>
      <c r="D233" s="10">
        <v>25</v>
      </c>
      <c r="E233" s="10">
        <v>1013</v>
      </c>
      <c r="F233" s="10">
        <v>0.74</v>
      </c>
      <c r="G233" s="11">
        <v>1250</v>
      </c>
      <c r="H233" s="15">
        <f t="shared" si="3"/>
        <v>1.2339585389930898</v>
      </c>
      <c r="I233" s="15">
        <f>Table2[[#This Row],[Ad Spend]]/Table2[[#This Row],[Leads]]</f>
        <v>29.794117647058822</v>
      </c>
      <c r="J233" s="15">
        <f>Table2[[#This Row],[Ad Spend]]/Table2[[#This Row],[Conversions]]</f>
        <v>40.520000000000003</v>
      </c>
    </row>
    <row r="234" spans="1:10" x14ac:dyDescent="0.35">
      <c r="A234" s="16">
        <v>45344</v>
      </c>
      <c r="B234" s="8" t="s">
        <v>9</v>
      </c>
      <c r="C234" s="8">
        <v>118</v>
      </c>
      <c r="D234" s="8">
        <v>34</v>
      </c>
      <c r="E234" s="8">
        <v>506</v>
      </c>
      <c r="F234" s="8">
        <v>0.28999999999999998</v>
      </c>
      <c r="G234" s="9">
        <v>1700</v>
      </c>
      <c r="H234" s="15">
        <f t="shared" si="3"/>
        <v>3.3596837944664033</v>
      </c>
      <c r="I234" s="15">
        <f>Table2[[#This Row],[Ad Spend]]/Table2[[#This Row],[Leads]]</f>
        <v>4.2881355932203391</v>
      </c>
      <c r="J234" s="15">
        <f>Table2[[#This Row],[Ad Spend]]/Table2[[#This Row],[Conversions]]</f>
        <v>14.882352941176471</v>
      </c>
    </row>
    <row r="235" spans="1:10" x14ac:dyDescent="0.35">
      <c r="A235" s="17">
        <v>45345</v>
      </c>
      <c r="B235" s="10" t="s">
        <v>9</v>
      </c>
      <c r="C235" s="10">
        <v>67</v>
      </c>
      <c r="D235" s="10">
        <v>6</v>
      </c>
      <c r="E235" s="10">
        <v>770</v>
      </c>
      <c r="F235" s="10">
        <v>0.09</v>
      </c>
      <c r="G235" s="11">
        <v>300</v>
      </c>
      <c r="H235" s="15">
        <f t="shared" si="3"/>
        <v>0.38961038961038963</v>
      </c>
      <c r="I235" s="15">
        <f>Table2[[#This Row],[Ad Spend]]/Table2[[#This Row],[Leads]]</f>
        <v>11.492537313432836</v>
      </c>
      <c r="J235" s="15">
        <f>Table2[[#This Row],[Ad Spend]]/Table2[[#This Row],[Conversions]]</f>
        <v>128.33333333333334</v>
      </c>
    </row>
    <row r="236" spans="1:10" x14ac:dyDescent="0.35">
      <c r="A236" s="16">
        <v>45346</v>
      </c>
      <c r="B236" s="8" t="s">
        <v>9</v>
      </c>
      <c r="C236" s="8">
        <v>43</v>
      </c>
      <c r="D236" s="8">
        <v>31</v>
      </c>
      <c r="E236" s="8">
        <v>1927</v>
      </c>
      <c r="F236" s="8">
        <v>0.72</v>
      </c>
      <c r="G236" s="9">
        <v>1550</v>
      </c>
      <c r="H236" s="15">
        <f t="shared" si="3"/>
        <v>0.80435910742086147</v>
      </c>
      <c r="I236" s="15">
        <f>Table2[[#This Row],[Ad Spend]]/Table2[[#This Row],[Leads]]</f>
        <v>44.813953488372093</v>
      </c>
      <c r="J236" s="15">
        <f>Table2[[#This Row],[Ad Spend]]/Table2[[#This Row],[Conversions]]</f>
        <v>62.161290322580648</v>
      </c>
    </row>
    <row r="237" spans="1:10" x14ac:dyDescent="0.35">
      <c r="A237" s="17">
        <v>45347</v>
      </c>
      <c r="B237" s="10" t="s">
        <v>9</v>
      </c>
      <c r="C237" s="10">
        <v>72</v>
      </c>
      <c r="D237" s="10">
        <v>37</v>
      </c>
      <c r="E237" s="10">
        <v>1448</v>
      </c>
      <c r="F237" s="10">
        <v>0.51</v>
      </c>
      <c r="G237" s="11">
        <v>1850</v>
      </c>
      <c r="H237" s="15">
        <f t="shared" si="3"/>
        <v>1.2776243093922652</v>
      </c>
      <c r="I237" s="15">
        <f>Table2[[#This Row],[Ad Spend]]/Table2[[#This Row],[Leads]]</f>
        <v>20.111111111111111</v>
      </c>
      <c r="J237" s="15">
        <f>Table2[[#This Row],[Ad Spend]]/Table2[[#This Row],[Conversions]]</f>
        <v>39.135135135135137</v>
      </c>
    </row>
    <row r="238" spans="1:10" x14ac:dyDescent="0.35">
      <c r="A238" s="16">
        <v>45348</v>
      </c>
      <c r="B238" s="8" t="s">
        <v>9</v>
      </c>
      <c r="C238" s="8">
        <v>34</v>
      </c>
      <c r="D238" s="8">
        <v>19</v>
      </c>
      <c r="E238" s="8">
        <v>1405</v>
      </c>
      <c r="F238" s="8">
        <v>0.56000000000000005</v>
      </c>
      <c r="G238" s="9">
        <v>950</v>
      </c>
      <c r="H238" s="15">
        <f t="shared" si="3"/>
        <v>0.67615658362989328</v>
      </c>
      <c r="I238" s="15">
        <f>Table2[[#This Row],[Ad Spend]]/Table2[[#This Row],[Leads]]</f>
        <v>41.323529411764703</v>
      </c>
      <c r="J238" s="15">
        <f>Table2[[#This Row],[Ad Spend]]/Table2[[#This Row],[Conversions]]</f>
        <v>73.94736842105263</v>
      </c>
    </row>
    <row r="239" spans="1:10" x14ac:dyDescent="0.35">
      <c r="A239" s="17">
        <v>45349</v>
      </c>
      <c r="B239" s="10" t="s">
        <v>9</v>
      </c>
      <c r="C239" s="10">
        <v>38</v>
      </c>
      <c r="D239" s="10">
        <v>36</v>
      </c>
      <c r="E239" s="10">
        <v>1869</v>
      </c>
      <c r="F239" s="10">
        <v>0.95</v>
      </c>
      <c r="G239" s="11">
        <v>1800</v>
      </c>
      <c r="H239" s="15">
        <f t="shared" si="3"/>
        <v>0.96308186195826651</v>
      </c>
      <c r="I239" s="15">
        <f>Table2[[#This Row],[Ad Spend]]/Table2[[#This Row],[Leads]]</f>
        <v>49.184210526315788</v>
      </c>
      <c r="J239" s="15">
        <f>Table2[[#This Row],[Ad Spend]]/Table2[[#This Row],[Conversions]]</f>
        <v>51.916666666666664</v>
      </c>
    </row>
    <row r="240" spans="1:10" x14ac:dyDescent="0.35">
      <c r="A240" s="16">
        <v>45350</v>
      </c>
      <c r="B240" s="8" t="s">
        <v>9</v>
      </c>
      <c r="C240" s="8">
        <v>78</v>
      </c>
      <c r="D240" s="8">
        <v>46</v>
      </c>
      <c r="E240" s="8">
        <v>754</v>
      </c>
      <c r="F240" s="8">
        <v>0.59</v>
      </c>
      <c r="G240" s="9">
        <v>2300</v>
      </c>
      <c r="H240" s="15">
        <f t="shared" si="3"/>
        <v>3.0503978779840848</v>
      </c>
      <c r="I240" s="15">
        <f>Table2[[#This Row],[Ad Spend]]/Table2[[#This Row],[Leads]]</f>
        <v>9.6666666666666661</v>
      </c>
      <c r="J240" s="15">
        <f>Table2[[#This Row],[Ad Spend]]/Table2[[#This Row],[Conversions]]</f>
        <v>16.391304347826086</v>
      </c>
    </row>
    <row r="241" spans="1:10" x14ac:dyDescent="0.35">
      <c r="A241" s="17">
        <v>45351</v>
      </c>
      <c r="B241" s="10" t="s">
        <v>9</v>
      </c>
      <c r="C241" s="10">
        <v>51</v>
      </c>
      <c r="D241" s="10">
        <v>28</v>
      </c>
      <c r="E241" s="10">
        <v>1214</v>
      </c>
      <c r="F241" s="10">
        <v>0.55000000000000004</v>
      </c>
      <c r="G241" s="11">
        <v>1400</v>
      </c>
      <c r="H241" s="15">
        <f t="shared" si="3"/>
        <v>1.1532125205930808</v>
      </c>
      <c r="I241" s="15">
        <f>Table2[[#This Row],[Ad Spend]]/Table2[[#This Row],[Leads]]</f>
        <v>23.803921568627452</v>
      </c>
      <c r="J241" s="15">
        <f>Table2[[#This Row],[Ad Spend]]/Table2[[#This Row],[Conversions]]</f>
        <v>43.357142857142854</v>
      </c>
    </row>
    <row r="242" spans="1:10" x14ac:dyDescent="0.35">
      <c r="A242" s="16">
        <v>45352</v>
      </c>
      <c r="B242" s="8" t="s">
        <v>9</v>
      </c>
      <c r="C242" s="8">
        <v>99</v>
      </c>
      <c r="D242" s="8">
        <v>21</v>
      </c>
      <c r="E242" s="8">
        <v>1143</v>
      </c>
      <c r="F242" s="8">
        <v>0.21</v>
      </c>
      <c r="G242" s="9">
        <v>1050</v>
      </c>
      <c r="H242" s="15">
        <f t="shared" si="3"/>
        <v>0.9186351706036745</v>
      </c>
      <c r="I242" s="15">
        <f>Table2[[#This Row],[Ad Spend]]/Table2[[#This Row],[Leads]]</f>
        <v>11.545454545454545</v>
      </c>
      <c r="J242" s="15">
        <f>Table2[[#This Row],[Ad Spend]]/Table2[[#This Row],[Conversions]]</f>
        <v>54.428571428571431</v>
      </c>
    </row>
    <row r="243" spans="1:10" x14ac:dyDescent="0.35">
      <c r="A243" s="17">
        <v>45353</v>
      </c>
      <c r="B243" s="10" t="s">
        <v>9</v>
      </c>
      <c r="C243" s="10">
        <v>102</v>
      </c>
      <c r="D243" s="10">
        <v>8</v>
      </c>
      <c r="E243" s="10">
        <v>1236</v>
      </c>
      <c r="F243" s="10">
        <v>0.08</v>
      </c>
      <c r="G243" s="11">
        <v>400</v>
      </c>
      <c r="H243" s="15">
        <f t="shared" si="3"/>
        <v>0.32362459546925565</v>
      </c>
      <c r="I243" s="15">
        <f>Table2[[#This Row],[Ad Spend]]/Table2[[#This Row],[Leads]]</f>
        <v>12.117647058823529</v>
      </c>
      <c r="J243" s="15">
        <f>Table2[[#This Row],[Ad Spend]]/Table2[[#This Row],[Conversions]]</f>
        <v>154.5</v>
      </c>
    </row>
    <row r="244" spans="1:10" x14ac:dyDescent="0.35">
      <c r="A244" s="16">
        <v>45354</v>
      </c>
      <c r="B244" s="8" t="s">
        <v>9</v>
      </c>
      <c r="C244" s="8">
        <v>46</v>
      </c>
      <c r="D244" s="8">
        <v>43</v>
      </c>
      <c r="E244" s="8">
        <v>1509</v>
      </c>
      <c r="F244" s="8">
        <v>0.93</v>
      </c>
      <c r="G244" s="9">
        <v>2150</v>
      </c>
      <c r="H244" s="15">
        <f t="shared" si="3"/>
        <v>1.4247846255798542</v>
      </c>
      <c r="I244" s="15">
        <f>Table2[[#This Row],[Ad Spend]]/Table2[[#This Row],[Leads]]</f>
        <v>32.804347826086953</v>
      </c>
      <c r="J244" s="15">
        <f>Table2[[#This Row],[Ad Spend]]/Table2[[#This Row],[Conversions]]</f>
        <v>35.093023255813954</v>
      </c>
    </row>
    <row r="245" spans="1:10" x14ac:dyDescent="0.35">
      <c r="A245" s="17">
        <v>45355</v>
      </c>
      <c r="B245" s="10" t="s">
        <v>9</v>
      </c>
      <c r="C245" s="10">
        <v>147</v>
      </c>
      <c r="D245" s="10">
        <v>46</v>
      </c>
      <c r="E245" s="10">
        <v>1243</v>
      </c>
      <c r="F245" s="10">
        <v>0.31</v>
      </c>
      <c r="G245" s="11">
        <v>2300</v>
      </c>
      <c r="H245" s="15">
        <f t="shared" si="3"/>
        <v>1.8503620273531778</v>
      </c>
      <c r="I245" s="15">
        <f>Table2[[#This Row],[Ad Spend]]/Table2[[#This Row],[Leads]]</f>
        <v>8.4557823129251695</v>
      </c>
      <c r="J245" s="15">
        <f>Table2[[#This Row],[Ad Spend]]/Table2[[#This Row],[Conversions]]</f>
        <v>27.021739130434781</v>
      </c>
    </row>
    <row r="246" spans="1:10" x14ac:dyDescent="0.35">
      <c r="A246" s="16">
        <v>45356</v>
      </c>
      <c r="B246" s="8" t="s">
        <v>9</v>
      </c>
      <c r="C246" s="8">
        <v>106</v>
      </c>
      <c r="D246" s="8">
        <v>42</v>
      </c>
      <c r="E246" s="8">
        <v>1444</v>
      </c>
      <c r="F246" s="8">
        <v>0.4</v>
      </c>
      <c r="G246" s="9">
        <v>2100</v>
      </c>
      <c r="H246" s="15">
        <f t="shared" si="3"/>
        <v>1.4542936288088644</v>
      </c>
      <c r="I246" s="15">
        <f>Table2[[#This Row],[Ad Spend]]/Table2[[#This Row],[Leads]]</f>
        <v>13.622641509433961</v>
      </c>
      <c r="J246" s="15">
        <f>Table2[[#This Row],[Ad Spend]]/Table2[[#This Row],[Conversions]]</f>
        <v>34.38095238095238</v>
      </c>
    </row>
    <row r="247" spans="1:10" x14ac:dyDescent="0.35">
      <c r="A247" s="17">
        <v>45357</v>
      </c>
      <c r="B247" s="10" t="s">
        <v>9</v>
      </c>
      <c r="C247" s="10">
        <v>55</v>
      </c>
      <c r="D247" s="10">
        <v>30</v>
      </c>
      <c r="E247" s="10">
        <v>1462</v>
      </c>
      <c r="F247" s="10">
        <v>0.55000000000000004</v>
      </c>
      <c r="G247" s="11">
        <v>1500</v>
      </c>
      <c r="H247" s="15">
        <f t="shared" si="3"/>
        <v>1.0259917920656634</v>
      </c>
      <c r="I247" s="15">
        <f>Table2[[#This Row],[Ad Spend]]/Table2[[#This Row],[Leads]]</f>
        <v>26.581818181818182</v>
      </c>
      <c r="J247" s="15">
        <f>Table2[[#This Row],[Ad Spend]]/Table2[[#This Row],[Conversions]]</f>
        <v>48.733333333333334</v>
      </c>
    </row>
    <row r="248" spans="1:10" x14ac:dyDescent="0.35">
      <c r="A248" s="16">
        <v>45358</v>
      </c>
      <c r="B248" s="8" t="s">
        <v>9</v>
      </c>
      <c r="C248" s="8">
        <v>38</v>
      </c>
      <c r="D248" s="8">
        <v>19</v>
      </c>
      <c r="E248" s="8">
        <v>558</v>
      </c>
      <c r="F248" s="8">
        <v>0.5</v>
      </c>
      <c r="G248" s="9">
        <v>950</v>
      </c>
      <c r="H248" s="15">
        <f t="shared" si="3"/>
        <v>1.7025089605734767</v>
      </c>
      <c r="I248" s="15">
        <f>Table2[[#This Row],[Ad Spend]]/Table2[[#This Row],[Leads]]</f>
        <v>14.684210526315789</v>
      </c>
      <c r="J248" s="15">
        <f>Table2[[#This Row],[Ad Spend]]/Table2[[#This Row],[Conversions]]</f>
        <v>29.368421052631579</v>
      </c>
    </row>
    <row r="249" spans="1:10" x14ac:dyDescent="0.35">
      <c r="A249" s="17">
        <v>45359</v>
      </c>
      <c r="B249" s="10" t="s">
        <v>9</v>
      </c>
      <c r="C249" s="10">
        <v>122</v>
      </c>
      <c r="D249" s="10">
        <v>39</v>
      </c>
      <c r="E249" s="10">
        <v>227</v>
      </c>
      <c r="F249" s="10">
        <v>0.32</v>
      </c>
      <c r="G249" s="11">
        <v>1950</v>
      </c>
      <c r="H249" s="15">
        <f t="shared" si="3"/>
        <v>8.5903083700440526</v>
      </c>
      <c r="I249" s="15">
        <f>Table2[[#This Row],[Ad Spend]]/Table2[[#This Row],[Leads]]</f>
        <v>1.860655737704918</v>
      </c>
      <c r="J249" s="15">
        <f>Table2[[#This Row],[Ad Spend]]/Table2[[#This Row],[Conversions]]</f>
        <v>5.8205128205128203</v>
      </c>
    </row>
    <row r="250" spans="1:10" x14ac:dyDescent="0.35">
      <c r="A250" s="16">
        <v>45360</v>
      </c>
      <c r="B250" s="8" t="s">
        <v>9</v>
      </c>
      <c r="C250" s="8">
        <v>139</v>
      </c>
      <c r="D250" s="8">
        <v>17</v>
      </c>
      <c r="E250" s="8">
        <v>823</v>
      </c>
      <c r="F250" s="8">
        <v>0.12</v>
      </c>
      <c r="G250" s="9">
        <v>850</v>
      </c>
      <c r="H250" s="15">
        <f t="shared" si="3"/>
        <v>1.0328068043742407</v>
      </c>
      <c r="I250" s="15">
        <f>Table2[[#This Row],[Ad Spend]]/Table2[[#This Row],[Leads]]</f>
        <v>5.9208633093525176</v>
      </c>
      <c r="J250" s="15">
        <f>Table2[[#This Row],[Ad Spend]]/Table2[[#This Row],[Conversions]]</f>
        <v>48.411764705882355</v>
      </c>
    </row>
    <row r="251" spans="1:10" x14ac:dyDescent="0.35">
      <c r="A251" s="17">
        <v>45361</v>
      </c>
      <c r="B251" s="10" t="s">
        <v>9</v>
      </c>
      <c r="C251" s="10">
        <v>46</v>
      </c>
      <c r="D251" s="10">
        <v>42</v>
      </c>
      <c r="E251" s="10">
        <v>1603</v>
      </c>
      <c r="F251" s="10">
        <v>0.91</v>
      </c>
      <c r="G251" s="11">
        <v>2100</v>
      </c>
      <c r="H251" s="15">
        <f t="shared" si="3"/>
        <v>1.3100436681222707</v>
      </c>
      <c r="I251" s="15">
        <f>Table2[[#This Row],[Ad Spend]]/Table2[[#This Row],[Leads]]</f>
        <v>34.847826086956523</v>
      </c>
      <c r="J251" s="15">
        <f>Table2[[#This Row],[Ad Spend]]/Table2[[#This Row],[Conversions]]</f>
        <v>38.166666666666664</v>
      </c>
    </row>
    <row r="252" spans="1:10" x14ac:dyDescent="0.35">
      <c r="A252" s="16">
        <v>45362</v>
      </c>
      <c r="B252" s="8" t="s">
        <v>9</v>
      </c>
      <c r="C252" s="8">
        <v>70</v>
      </c>
      <c r="D252" s="8">
        <v>48</v>
      </c>
      <c r="E252" s="8">
        <v>509</v>
      </c>
      <c r="F252" s="8">
        <v>0.69</v>
      </c>
      <c r="G252" s="9">
        <v>2400</v>
      </c>
      <c r="H252" s="15">
        <f t="shared" si="3"/>
        <v>4.7151277013752457</v>
      </c>
      <c r="I252" s="15">
        <f>Table2[[#This Row],[Ad Spend]]/Table2[[#This Row],[Leads]]</f>
        <v>7.2714285714285714</v>
      </c>
      <c r="J252" s="15">
        <f>Table2[[#This Row],[Ad Spend]]/Table2[[#This Row],[Conversions]]</f>
        <v>10.604166666666666</v>
      </c>
    </row>
    <row r="253" spans="1:10" x14ac:dyDescent="0.35">
      <c r="A253" s="17">
        <v>45363</v>
      </c>
      <c r="B253" s="10" t="s">
        <v>9</v>
      </c>
      <c r="C253" s="10">
        <v>101</v>
      </c>
      <c r="D253" s="10">
        <v>17</v>
      </c>
      <c r="E253" s="10">
        <v>808</v>
      </c>
      <c r="F253" s="10">
        <v>0.17</v>
      </c>
      <c r="G253" s="11">
        <v>850</v>
      </c>
      <c r="H253" s="15">
        <f t="shared" si="3"/>
        <v>1.051980198019802</v>
      </c>
      <c r="I253" s="15">
        <f>Table2[[#This Row],[Ad Spend]]/Table2[[#This Row],[Leads]]</f>
        <v>8</v>
      </c>
      <c r="J253" s="15">
        <f>Table2[[#This Row],[Ad Spend]]/Table2[[#This Row],[Conversions]]</f>
        <v>47.529411764705884</v>
      </c>
    </row>
    <row r="254" spans="1:10" x14ac:dyDescent="0.35">
      <c r="A254" s="16">
        <v>45364</v>
      </c>
      <c r="B254" s="8" t="s">
        <v>9</v>
      </c>
      <c r="C254" s="8">
        <v>146</v>
      </c>
      <c r="D254" s="8">
        <v>18</v>
      </c>
      <c r="E254" s="8">
        <v>637</v>
      </c>
      <c r="F254" s="8">
        <v>0.12</v>
      </c>
      <c r="G254" s="9">
        <v>900</v>
      </c>
      <c r="H254" s="15">
        <f t="shared" si="3"/>
        <v>1.4128728414442699</v>
      </c>
      <c r="I254" s="15">
        <f>Table2[[#This Row],[Ad Spend]]/Table2[[#This Row],[Leads]]</f>
        <v>4.3630136986301373</v>
      </c>
      <c r="J254" s="15">
        <f>Table2[[#This Row],[Ad Spend]]/Table2[[#This Row],[Conversions]]</f>
        <v>35.388888888888886</v>
      </c>
    </row>
    <row r="255" spans="1:10" x14ac:dyDescent="0.35">
      <c r="A255" s="17">
        <v>45365</v>
      </c>
      <c r="B255" s="10" t="s">
        <v>9</v>
      </c>
      <c r="C255" s="10">
        <v>27</v>
      </c>
      <c r="D255" s="10">
        <v>37</v>
      </c>
      <c r="E255" s="10">
        <v>101</v>
      </c>
      <c r="F255" s="10">
        <v>1.37</v>
      </c>
      <c r="G255" s="11">
        <v>1850</v>
      </c>
      <c r="H255" s="15">
        <f t="shared" si="3"/>
        <v>18.316831683168317</v>
      </c>
      <c r="I255" s="15">
        <f>Table2[[#This Row],[Ad Spend]]/Table2[[#This Row],[Leads]]</f>
        <v>3.7407407407407409</v>
      </c>
      <c r="J255" s="15">
        <f>Table2[[#This Row],[Ad Spend]]/Table2[[#This Row],[Conversions]]</f>
        <v>2.7297297297297298</v>
      </c>
    </row>
    <row r="256" spans="1:10" x14ac:dyDescent="0.35">
      <c r="A256" s="16">
        <v>45366</v>
      </c>
      <c r="B256" s="8" t="s">
        <v>9</v>
      </c>
      <c r="C256" s="8">
        <v>132</v>
      </c>
      <c r="D256" s="8">
        <v>17</v>
      </c>
      <c r="E256" s="8">
        <v>142</v>
      </c>
      <c r="F256" s="8">
        <v>0.13</v>
      </c>
      <c r="G256" s="9">
        <v>850</v>
      </c>
      <c r="H256" s="15">
        <f t="shared" si="3"/>
        <v>5.9859154929577461</v>
      </c>
      <c r="I256" s="15">
        <f>Table2[[#This Row],[Ad Spend]]/Table2[[#This Row],[Leads]]</f>
        <v>1.0757575757575757</v>
      </c>
      <c r="J256" s="15">
        <f>Table2[[#This Row],[Ad Spend]]/Table2[[#This Row],[Conversions]]</f>
        <v>8.3529411764705888</v>
      </c>
    </row>
    <row r="257" spans="1:10" x14ac:dyDescent="0.35">
      <c r="A257" s="17">
        <v>45367</v>
      </c>
      <c r="B257" s="10" t="s">
        <v>9</v>
      </c>
      <c r="C257" s="10">
        <v>83</v>
      </c>
      <c r="D257" s="10">
        <v>46</v>
      </c>
      <c r="E257" s="10">
        <v>1398</v>
      </c>
      <c r="F257" s="10">
        <v>0.55000000000000004</v>
      </c>
      <c r="G257" s="11">
        <v>2300</v>
      </c>
      <c r="H257" s="15">
        <f t="shared" si="3"/>
        <v>1.6452074391988556</v>
      </c>
      <c r="I257" s="15">
        <f>Table2[[#This Row],[Ad Spend]]/Table2[[#This Row],[Leads]]</f>
        <v>16.843373493975903</v>
      </c>
      <c r="J257" s="15">
        <f>Table2[[#This Row],[Ad Spend]]/Table2[[#This Row],[Conversions]]</f>
        <v>30.391304347826086</v>
      </c>
    </row>
    <row r="258" spans="1:10" x14ac:dyDescent="0.35">
      <c r="A258" s="16">
        <v>45368</v>
      </c>
      <c r="B258" s="8" t="s">
        <v>9</v>
      </c>
      <c r="C258" s="8">
        <v>115</v>
      </c>
      <c r="D258" s="8">
        <v>33</v>
      </c>
      <c r="E258" s="8">
        <v>1460</v>
      </c>
      <c r="F258" s="8">
        <v>0.28999999999999998</v>
      </c>
      <c r="G258" s="9">
        <v>1650</v>
      </c>
      <c r="H258" s="15">
        <f t="shared" si="3"/>
        <v>1.1301369863013699</v>
      </c>
      <c r="I258" s="15">
        <f>Table2[[#This Row],[Ad Spend]]/Table2[[#This Row],[Leads]]</f>
        <v>12.695652173913043</v>
      </c>
      <c r="J258" s="15">
        <f>Table2[[#This Row],[Ad Spend]]/Table2[[#This Row],[Conversions]]</f>
        <v>44.242424242424242</v>
      </c>
    </row>
    <row r="259" spans="1:10" x14ac:dyDescent="0.35">
      <c r="A259" s="17">
        <v>45369</v>
      </c>
      <c r="B259" s="10" t="s">
        <v>9</v>
      </c>
      <c r="C259" s="10">
        <v>111</v>
      </c>
      <c r="D259" s="10">
        <v>32</v>
      </c>
      <c r="E259" s="10">
        <v>1953</v>
      </c>
      <c r="F259" s="10">
        <v>0.28999999999999998</v>
      </c>
      <c r="G259" s="11">
        <v>1600</v>
      </c>
      <c r="H259" s="15">
        <f t="shared" ref="H259:H322" si="4">G259/E259</f>
        <v>0.81925243215565802</v>
      </c>
      <c r="I259" s="15">
        <f>Table2[[#This Row],[Ad Spend]]/Table2[[#This Row],[Leads]]</f>
        <v>17.594594594594593</v>
      </c>
      <c r="J259" s="15">
        <f>Table2[[#This Row],[Ad Spend]]/Table2[[#This Row],[Conversions]]</f>
        <v>61.03125</v>
      </c>
    </row>
    <row r="260" spans="1:10" x14ac:dyDescent="0.35">
      <c r="A260" s="16">
        <v>45370</v>
      </c>
      <c r="B260" s="8" t="s">
        <v>9</v>
      </c>
      <c r="C260" s="8">
        <v>121</v>
      </c>
      <c r="D260" s="8">
        <v>46</v>
      </c>
      <c r="E260" s="8">
        <v>301</v>
      </c>
      <c r="F260" s="8">
        <v>0.38</v>
      </c>
      <c r="G260" s="9">
        <v>2300</v>
      </c>
      <c r="H260" s="15">
        <f t="shared" si="4"/>
        <v>7.6411960132890364</v>
      </c>
      <c r="I260" s="15">
        <f>Table2[[#This Row],[Ad Spend]]/Table2[[#This Row],[Leads]]</f>
        <v>2.4876033057851239</v>
      </c>
      <c r="J260" s="15">
        <f>Table2[[#This Row],[Ad Spend]]/Table2[[#This Row],[Conversions]]</f>
        <v>6.5434782608695654</v>
      </c>
    </row>
    <row r="261" spans="1:10" x14ac:dyDescent="0.35">
      <c r="A261" s="17">
        <v>45371</v>
      </c>
      <c r="B261" s="10" t="s">
        <v>9</v>
      </c>
      <c r="C261" s="10">
        <v>54</v>
      </c>
      <c r="D261" s="10">
        <v>36</v>
      </c>
      <c r="E261" s="10">
        <v>758</v>
      </c>
      <c r="F261" s="10">
        <v>0.67</v>
      </c>
      <c r="G261" s="11">
        <v>1800</v>
      </c>
      <c r="H261" s="15">
        <f t="shared" si="4"/>
        <v>2.3746701846965701</v>
      </c>
      <c r="I261" s="15">
        <f>Table2[[#This Row],[Ad Spend]]/Table2[[#This Row],[Leads]]</f>
        <v>14.037037037037036</v>
      </c>
      <c r="J261" s="15">
        <f>Table2[[#This Row],[Ad Spend]]/Table2[[#This Row],[Conversions]]</f>
        <v>21.055555555555557</v>
      </c>
    </row>
    <row r="262" spans="1:10" x14ac:dyDescent="0.35">
      <c r="A262" s="16">
        <v>45372</v>
      </c>
      <c r="B262" s="8" t="s">
        <v>9</v>
      </c>
      <c r="C262" s="8">
        <v>41</v>
      </c>
      <c r="D262" s="8">
        <v>45</v>
      </c>
      <c r="E262" s="8">
        <v>1722</v>
      </c>
      <c r="F262" s="8">
        <v>1.1000000000000001</v>
      </c>
      <c r="G262" s="9">
        <v>2250</v>
      </c>
      <c r="H262" s="15">
        <f t="shared" si="4"/>
        <v>1.3066202090592334</v>
      </c>
      <c r="I262" s="15">
        <f>Table2[[#This Row],[Ad Spend]]/Table2[[#This Row],[Leads]]</f>
        <v>42</v>
      </c>
      <c r="J262" s="15">
        <f>Table2[[#This Row],[Ad Spend]]/Table2[[#This Row],[Conversions]]</f>
        <v>38.266666666666666</v>
      </c>
    </row>
    <row r="263" spans="1:10" x14ac:dyDescent="0.35">
      <c r="A263" s="17">
        <v>45373</v>
      </c>
      <c r="B263" s="10" t="s">
        <v>9</v>
      </c>
      <c r="C263" s="10">
        <v>90</v>
      </c>
      <c r="D263" s="10">
        <v>11</v>
      </c>
      <c r="E263" s="10">
        <v>443</v>
      </c>
      <c r="F263" s="10">
        <v>0.12</v>
      </c>
      <c r="G263" s="11">
        <v>550</v>
      </c>
      <c r="H263" s="15">
        <f t="shared" si="4"/>
        <v>1.2415349887133182</v>
      </c>
      <c r="I263" s="15">
        <f>Table2[[#This Row],[Ad Spend]]/Table2[[#This Row],[Leads]]</f>
        <v>4.9222222222222225</v>
      </c>
      <c r="J263" s="15">
        <f>Table2[[#This Row],[Ad Spend]]/Table2[[#This Row],[Conversions]]</f>
        <v>40.272727272727273</v>
      </c>
    </row>
    <row r="264" spans="1:10" x14ac:dyDescent="0.35">
      <c r="A264" s="16">
        <v>45374</v>
      </c>
      <c r="B264" s="8" t="s">
        <v>9</v>
      </c>
      <c r="C264" s="8">
        <v>148</v>
      </c>
      <c r="D264" s="8">
        <v>5</v>
      </c>
      <c r="E264" s="8">
        <v>1933</v>
      </c>
      <c r="F264" s="8">
        <v>0.03</v>
      </c>
      <c r="G264" s="9">
        <v>250</v>
      </c>
      <c r="H264" s="15">
        <f t="shared" si="4"/>
        <v>0.12933264355923435</v>
      </c>
      <c r="I264" s="15">
        <f>Table2[[#This Row],[Ad Spend]]/Table2[[#This Row],[Leads]]</f>
        <v>13.060810810810811</v>
      </c>
      <c r="J264" s="15">
        <f>Table2[[#This Row],[Ad Spend]]/Table2[[#This Row],[Conversions]]</f>
        <v>386.6</v>
      </c>
    </row>
    <row r="265" spans="1:10" x14ac:dyDescent="0.35">
      <c r="A265" s="17">
        <v>45375</v>
      </c>
      <c r="B265" s="10" t="s">
        <v>9</v>
      </c>
      <c r="C265" s="10">
        <v>127</v>
      </c>
      <c r="D265" s="10">
        <v>46</v>
      </c>
      <c r="E265" s="10">
        <v>1564</v>
      </c>
      <c r="F265" s="10">
        <v>0.36</v>
      </c>
      <c r="G265" s="11">
        <v>2300</v>
      </c>
      <c r="H265" s="15">
        <f t="shared" si="4"/>
        <v>1.4705882352941178</v>
      </c>
      <c r="I265" s="15">
        <f>Table2[[#This Row],[Ad Spend]]/Table2[[#This Row],[Leads]]</f>
        <v>12.314960629921259</v>
      </c>
      <c r="J265" s="15">
        <f>Table2[[#This Row],[Ad Spend]]/Table2[[#This Row],[Conversions]]</f>
        <v>34</v>
      </c>
    </row>
    <row r="266" spans="1:10" x14ac:dyDescent="0.35">
      <c r="A266" s="16">
        <v>45376</v>
      </c>
      <c r="B266" s="8" t="s">
        <v>9</v>
      </c>
      <c r="C266" s="8">
        <v>35</v>
      </c>
      <c r="D266" s="8">
        <v>40</v>
      </c>
      <c r="E266" s="8">
        <v>511</v>
      </c>
      <c r="F266" s="8">
        <v>1.1399999999999999</v>
      </c>
      <c r="G266" s="9">
        <v>2000</v>
      </c>
      <c r="H266" s="15">
        <f t="shared" si="4"/>
        <v>3.9138943248532287</v>
      </c>
      <c r="I266" s="15">
        <f>Table2[[#This Row],[Ad Spend]]/Table2[[#This Row],[Leads]]</f>
        <v>14.6</v>
      </c>
      <c r="J266" s="15">
        <f>Table2[[#This Row],[Ad Spend]]/Table2[[#This Row],[Conversions]]</f>
        <v>12.775</v>
      </c>
    </row>
    <row r="267" spans="1:10" x14ac:dyDescent="0.35">
      <c r="A267" s="17">
        <v>45377</v>
      </c>
      <c r="B267" s="10" t="s">
        <v>9</v>
      </c>
      <c r="C267" s="10">
        <v>77</v>
      </c>
      <c r="D267" s="10">
        <v>11</v>
      </c>
      <c r="E267" s="10">
        <v>153</v>
      </c>
      <c r="F267" s="10">
        <v>0.14000000000000001</v>
      </c>
      <c r="G267" s="11">
        <v>550</v>
      </c>
      <c r="H267" s="15">
        <f t="shared" si="4"/>
        <v>3.5947712418300655</v>
      </c>
      <c r="I267" s="15">
        <f>Table2[[#This Row],[Ad Spend]]/Table2[[#This Row],[Leads]]</f>
        <v>1.9870129870129871</v>
      </c>
      <c r="J267" s="15">
        <f>Table2[[#This Row],[Ad Spend]]/Table2[[#This Row],[Conversions]]</f>
        <v>13.909090909090908</v>
      </c>
    </row>
    <row r="268" spans="1:10" x14ac:dyDescent="0.35">
      <c r="A268" s="16">
        <v>45378</v>
      </c>
      <c r="B268" s="8" t="s">
        <v>9</v>
      </c>
      <c r="C268" s="8">
        <v>145</v>
      </c>
      <c r="D268" s="8">
        <v>46</v>
      </c>
      <c r="E268" s="8">
        <v>314</v>
      </c>
      <c r="F268" s="8">
        <v>0.32</v>
      </c>
      <c r="G268" s="9">
        <v>2300</v>
      </c>
      <c r="H268" s="15">
        <f t="shared" si="4"/>
        <v>7.3248407643312099</v>
      </c>
      <c r="I268" s="15">
        <f>Table2[[#This Row],[Ad Spend]]/Table2[[#This Row],[Leads]]</f>
        <v>2.1655172413793102</v>
      </c>
      <c r="J268" s="15">
        <f>Table2[[#This Row],[Ad Spend]]/Table2[[#This Row],[Conversions]]</f>
        <v>6.8260869565217392</v>
      </c>
    </row>
    <row r="269" spans="1:10" x14ac:dyDescent="0.35">
      <c r="A269" s="17">
        <v>45379</v>
      </c>
      <c r="B269" s="10" t="s">
        <v>9</v>
      </c>
      <c r="C269" s="10">
        <v>26</v>
      </c>
      <c r="D269" s="10">
        <v>43</v>
      </c>
      <c r="E269" s="10">
        <v>1715</v>
      </c>
      <c r="F269" s="10">
        <v>1.65</v>
      </c>
      <c r="G269" s="11">
        <v>2150</v>
      </c>
      <c r="H269" s="15">
        <f t="shared" si="4"/>
        <v>1.2536443148688046</v>
      </c>
      <c r="I269" s="15">
        <f>Table2[[#This Row],[Ad Spend]]/Table2[[#This Row],[Leads]]</f>
        <v>65.961538461538467</v>
      </c>
      <c r="J269" s="15">
        <f>Table2[[#This Row],[Ad Spend]]/Table2[[#This Row],[Conversions]]</f>
        <v>39.883720930232556</v>
      </c>
    </row>
    <row r="270" spans="1:10" x14ac:dyDescent="0.35">
      <c r="A270" s="16">
        <v>45380</v>
      </c>
      <c r="B270" s="8" t="s">
        <v>9</v>
      </c>
      <c r="C270" s="8">
        <v>103</v>
      </c>
      <c r="D270" s="8">
        <v>47</v>
      </c>
      <c r="E270" s="8">
        <v>360</v>
      </c>
      <c r="F270" s="8">
        <v>0.46</v>
      </c>
      <c r="G270" s="9">
        <v>2350</v>
      </c>
      <c r="H270" s="15">
        <f t="shared" si="4"/>
        <v>6.5277777777777777</v>
      </c>
      <c r="I270" s="15">
        <f>Table2[[#This Row],[Ad Spend]]/Table2[[#This Row],[Leads]]</f>
        <v>3.4951456310679609</v>
      </c>
      <c r="J270" s="15">
        <f>Table2[[#This Row],[Ad Spend]]/Table2[[#This Row],[Conversions]]</f>
        <v>7.6595744680851068</v>
      </c>
    </row>
    <row r="271" spans="1:10" x14ac:dyDescent="0.35">
      <c r="A271" s="17">
        <v>45381</v>
      </c>
      <c r="B271" s="10" t="s">
        <v>9</v>
      </c>
      <c r="C271" s="10">
        <v>53</v>
      </c>
      <c r="D271" s="10">
        <v>34</v>
      </c>
      <c r="E271" s="10">
        <v>392</v>
      </c>
      <c r="F271" s="10">
        <v>0.64</v>
      </c>
      <c r="G271" s="11">
        <v>1700</v>
      </c>
      <c r="H271" s="15">
        <f t="shared" si="4"/>
        <v>4.3367346938775508</v>
      </c>
      <c r="I271" s="15">
        <f>Table2[[#This Row],[Ad Spend]]/Table2[[#This Row],[Leads]]</f>
        <v>7.3962264150943398</v>
      </c>
      <c r="J271" s="15">
        <f>Table2[[#This Row],[Ad Spend]]/Table2[[#This Row],[Conversions]]</f>
        <v>11.529411764705882</v>
      </c>
    </row>
    <row r="272" spans="1:10" x14ac:dyDescent="0.35">
      <c r="A272" s="16">
        <v>45292</v>
      </c>
      <c r="B272" s="8" t="s">
        <v>10</v>
      </c>
      <c r="C272" s="8">
        <v>36</v>
      </c>
      <c r="D272" s="8">
        <v>49</v>
      </c>
      <c r="E272" s="8">
        <v>1252</v>
      </c>
      <c r="F272" s="8">
        <v>1.36</v>
      </c>
      <c r="G272" s="9">
        <v>2450</v>
      </c>
      <c r="H272" s="15">
        <f t="shared" si="4"/>
        <v>1.9568690095846646</v>
      </c>
      <c r="I272" s="15">
        <f>Table2[[#This Row],[Ad Spend]]/Table2[[#This Row],[Leads]]</f>
        <v>34.777777777777779</v>
      </c>
      <c r="J272" s="15">
        <f>Table2[[#This Row],[Ad Spend]]/Table2[[#This Row],[Conversions]]</f>
        <v>25.551020408163264</v>
      </c>
    </row>
    <row r="273" spans="1:10" x14ac:dyDescent="0.35">
      <c r="A273" s="17">
        <v>45293</v>
      </c>
      <c r="B273" s="10" t="s">
        <v>10</v>
      </c>
      <c r="C273" s="10">
        <v>110</v>
      </c>
      <c r="D273" s="10">
        <v>40</v>
      </c>
      <c r="E273" s="10">
        <v>1417</v>
      </c>
      <c r="F273" s="10">
        <v>0.36</v>
      </c>
      <c r="G273" s="11">
        <v>2000</v>
      </c>
      <c r="H273" s="15">
        <f t="shared" si="4"/>
        <v>1.4114326040931546</v>
      </c>
      <c r="I273" s="15">
        <f>Table2[[#This Row],[Ad Spend]]/Table2[[#This Row],[Leads]]</f>
        <v>12.881818181818181</v>
      </c>
      <c r="J273" s="15">
        <f>Table2[[#This Row],[Ad Spend]]/Table2[[#This Row],[Conversions]]</f>
        <v>35.424999999999997</v>
      </c>
    </row>
    <row r="274" spans="1:10" x14ac:dyDescent="0.35">
      <c r="A274" s="16">
        <v>45294</v>
      </c>
      <c r="B274" s="8" t="s">
        <v>10</v>
      </c>
      <c r="C274" s="8">
        <v>136</v>
      </c>
      <c r="D274" s="8">
        <v>34</v>
      </c>
      <c r="E274" s="8">
        <v>1091</v>
      </c>
      <c r="F274" s="8">
        <v>0.25</v>
      </c>
      <c r="G274" s="9">
        <v>1700</v>
      </c>
      <c r="H274" s="15">
        <f t="shared" si="4"/>
        <v>1.5582034830430798</v>
      </c>
      <c r="I274" s="15">
        <f>Table2[[#This Row],[Ad Spend]]/Table2[[#This Row],[Leads]]</f>
        <v>8.0220588235294112</v>
      </c>
      <c r="J274" s="15">
        <f>Table2[[#This Row],[Ad Spend]]/Table2[[#This Row],[Conversions]]</f>
        <v>32.088235294117645</v>
      </c>
    </row>
    <row r="275" spans="1:10" x14ac:dyDescent="0.35">
      <c r="A275" s="17">
        <v>45295</v>
      </c>
      <c r="B275" s="10" t="s">
        <v>10</v>
      </c>
      <c r="C275" s="10">
        <v>124</v>
      </c>
      <c r="D275" s="10">
        <v>26</v>
      </c>
      <c r="E275" s="10">
        <v>1075</v>
      </c>
      <c r="F275" s="10">
        <v>0.21</v>
      </c>
      <c r="G275" s="11">
        <v>1300</v>
      </c>
      <c r="H275" s="15">
        <f t="shared" si="4"/>
        <v>1.2093023255813953</v>
      </c>
      <c r="I275" s="15">
        <f>Table2[[#This Row],[Ad Spend]]/Table2[[#This Row],[Leads]]</f>
        <v>8.6693548387096779</v>
      </c>
      <c r="J275" s="15">
        <f>Table2[[#This Row],[Ad Spend]]/Table2[[#This Row],[Conversions]]</f>
        <v>41.346153846153847</v>
      </c>
    </row>
    <row r="276" spans="1:10" x14ac:dyDescent="0.35">
      <c r="A276" s="16">
        <v>45296</v>
      </c>
      <c r="B276" s="8" t="s">
        <v>10</v>
      </c>
      <c r="C276" s="8">
        <v>122</v>
      </c>
      <c r="D276" s="8">
        <v>48</v>
      </c>
      <c r="E276" s="8">
        <v>837</v>
      </c>
      <c r="F276" s="8">
        <v>0.39</v>
      </c>
      <c r="G276" s="9">
        <v>2400</v>
      </c>
      <c r="H276" s="15">
        <f t="shared" si="4"/>
        <v>2.8673835125448028</v>
      </c>
      <c r="I276" s="15">
        <f>Table2[[#This Row],[Ad Spend]]/Table2[[#This Row],[Leads]]</f>
        <v>6.860655737704918</v>
      </c>
      <c r="J276" s="15">
        <f>Table2[[#This Row],[Ad Spend]]/Table2[[#This Row],[Conversions]]</f>
        <v>17.4375</v>
      </c>
    </row>
    <row r="277" spans="1:10" x14ac:dyDescent="0.35">
      <c r="A277" s="17">
        <v>45297</v>
      </c>
      <c r="B277" s="10" t="s">
        <v>10</v>
      </c>
      <c r="C277" s="10">
        <v>95</v>
      </c>
      <c r="D277" s="10">
        <v>47</v>
      </c>
      <c r="E277" s="10">
        <v>1939</v>
      </c>
      <c r="F277" s="10">
        <v>0.49</v>
      </c>
      <c r="G277" s="11">
        <v>2350</v>
      </c>
      <c r="H277" s="15">
        <f t="shared" si="4"/>
        <v>1.2119649303764828</v>
      </c>
      <c r="I277" s="15">
        <f>Table2[[#This Row],[Ad Spend]]/Table2[[#This Row],[Leads]]</f>
        <v>20.410526315789475</v>
      </c>
      <c r="J277" s="15">
        <f>Table2[[#This Row],[Ad Spend]]/Table2[[#This Row],[Conversions]]</f>
        <v>41.255319148936174</v>
      </c>
    </row>
    <row r="278" spans="1:10" x14ac:dyDescent="0.35">
      <c r="A278" s="16">
        <v>45298</v>
      </c>
      <c r="B278" s="8" t="s">
        <v>10</v>
      </c>
      <c r="C278" s="8">
        <v>82</v>
      </c>
      <c r="D278" s="8">
        <v>27</v>
      </c>
      <c r="E278" s="8">
        <v>1928</v>
      </c>
      <c r="F278" s="8">
        <v>0.33</v>
      </c>
      <c r="G278" s="9">
        <v>1350</v>
      </c>
      <c r="H278" s="15">
        <f t="shared" si="4"/>
        <v>0.700207468879668</v>
      </c>
      <c r="I278" s="15">
        <f>Table2[[#This Row],[Ad Spend]]/Table2[[#This Row],[Leads]]</f>
        <v>23.512195121951219</v>
      </c>
      <c r="J278" s="15">
        <f>Table2[[#This Row],[Ad Spend]]/Table2[[#This Row],[Conversions]]</f>
        <v>71.407407407407405</v>
      </c>
    </row>
    <row r="279" spans="1:10" x14ac:dyDescent="0.35">
      <c r="A279" s="17">
        <v>45299</v>
      </c>
      <c r="B279" s="10" t="s">
        <v>10</v>
      </c>
      <c r="C279" s="10">
        <v>122</v>
      </c>
      <c r="D279" s="10">
        <v>11</v>
      </c>
      <c r="E279" s="10">
        <v>596</v>
      </c>
      <c r="F279" s="10">
        <v>0.09</v>
      </c>
      <c r="G279" s="11">
        <v>550</v>
      </c>
      <c r="H279" s="15">
        <f t="shared" si="4"/>
        <v>0.92281879194630867</v>
      </c>
      <c r="I279" s="15">
        <f>Table2[[#This Row],[Ad Spend]]/Table2[[#This Row],[Leads]]</f>
        <v>4.8852459016393439</v>
      </c>
      <c r="J279" s="15">
        <f>Table2[[#This Row],[Ad Spend]]/Table2[[#This Row],[Conversions]]</f>
        <v>54.18181818181818</v>
      </c>
    </row>
    <row r="280" spans="1:10" x14ac:dyDescent="0.35">
      <c r="A280" s="16">
        <v>45300</v>
      </c>
      <c r="B280" s="8" t="s">
        <v>10</v>
      </c>
      <c r="C280" s="8">
        <v>69</v>
      </c>
      <c r="D280" s="8">
        <v>36</v>
      </c>
      <c r="E280" s="8">
        <v>1740</v>
      </c>
      <c r="F280" s="8">
        <v>0.52</v>
      </c>
      <c r="G280" s="9">
        <v>1800</v>
      </c>
      <c r="H280" s="15">
        <f t="shared" si="4"/>
        <v>1.0344827586206897</v>
      </c>
      <c r="I280" s="15">
        <f>Table2[[#This Row],[Ad Spend]]/Table2[[#This Row],[Leads]]</f>
        <v>25.217391304347824</v>
      </c>
      <c r="J280" s="15">
        <f>Table2[[#This Row],[Ad Spend]]/Table2[[#This Row],[Conversions]]</f>
        <v>48.333333333333336</v>
      </c>
    </row>
    <row r="281" spans="1:10" x14ac:dyDescent="0.35">
      <c r="A281" s="17">
        <v>45301</v>
      </c>
      <c r="B281" s="10" t="s">
        <v>10</v>
      </c>
      <c r="C281" s="10">
        <v>38</v>
      </c>
      <c r="D281" s="10">
        <v>11</v>
      </c>
      <c r="E281" s="10">
        <v>442</v>
      </c>
      <c r="F281" s="10">
        <v>0.28999999999999998</v>
      </c>
      <c r="G281" s="11">
        <v>550</v>
      </c>
      <c r="H281" s="15">
        <f t="shared" si="4"/>
        <v>1.244343891402715</v>
      </c>
      <c r="I281" s="15">
        <f>Table2[[#This Row],[Ad Spend]]/Table2[[#This Row],[Leads]]</f>
        <v>11.631578947368421</v>
      </c>
      <c r="J281" s="15">
        <f>Table2[[#This Row],[Ad Spend]]/Table2[[#This Row],[Conversions]]</f>
        <v>40.18181818181818</v>
      </c>
    </row>
    <row r="282" spans="1:10" x14ac:dyDescent="0.35">
      <c r="A282" s="16">
        <v>45302</v>
      </c>
      <c r="B282" s="8" t="s">
        <v>10</v>
      </c>
      <c r="C282" s="8">
        <v>22</v>
      </c>
      <c r="D282" s="8">
        <v>27</v>
      </c>
      <c r="E282" s="8">
        <v>825</v>
      </c>
      <c r="F282" s="8">
        <v>1.23</v>
      </c>
      <c r="G282" s="9">
        <v>1350</v>
      </c>
      <c r="H282" s="15">
        <f t="shared" si="4"/>
        <v>1.6363636363636365</v>
      </c>
      <c r="I282" s="15">
        <f>Table2[[#This Row],[Ad Spend]]/Table2[[#This Row],[Leads]]</f>
        <v>37.5</v>
      </c>
      <c r="J282" s="15">
        <f>Table2[[#This Row],[Ad Spend]]/Table2[[#This Row],[Conversions]]</f>
        <v>30.555555555555557</v>
      </c>
    </row>
    <row r="283" spans="1:10" x14ac:dyDescent="0.35">
      <c r="A283" s="17">
        <v>45303</v>
      </c>
      <c r="B283" s="10" t="s">
        <v>10</v>
      </c>
      <c r="C283" s="10">
        <v>141</v>
      </c>
      <c r="D283" s="10">
        <v>5</v>
      </c>
      <c r="E283" s="10">
        <v>101</v>
      </c>
      <c r="F283" s="10">
        <v>0.04</v>
      </c>
      <c r="G283" s="11">
        <v>250</v>
      </c>
      <c r="H283" s="15">
        <f t="shared" si="4"/>
        <v>2.4752475247524752</v>
      </c>
      <c r="I283" s="15">
        <f>Table2[[#This Row],[Ad Spend]]/Table2[[#This Row],[Leads]]</f>
        <v>0.71631205673758869</v>
      </c>
      <c r="J283" s="15">
        <f>Table2[[#This Row],[Ad Spend]]/Table2[[#This Row],[Conversions]]</f>
        <v>20.2</v>
      </c>
    </row>
    <row r="284" spans="1:10" x14ac:dyDescent="0.35">
      <c r="A284" s="16">
        <v>45304</v>
      </c>
      <c r="B284" s="8" t="s">
        <v>10</v>
      </c>
      <c r="C284" s="8">
        <v>21</v>
      </c>
      <c r="D284" s="8">
        <v>25</v>
      </c>
      <c r="E284" s="8">
        <v>1640</v>
      </c>
      <c r="F284" s="8">
        <v>1.19</v>
      </c>
      <c r="G284" s="9">
        <v>1250</v>
      </c>
      <c r="H284" s="15">
        <f t="shared" si="4"/>
        <v>0.76219512195121952</v>
      </c>
      <c r="I284" s="15">
        <f>Table2[[#This Row],[Ad Spend]]/Table2[[#This Row],[Leads]]</f>
        <v>78.095238095238102</v>
      </c>
      <c r="J284" s="15">
        <f>Table2[[#This Row],[Ad Spend]]/Table2[[#This Row],[Conversions]]</f>
        <v>65.599999999999994</v>
      </c>
    </row>
    <row r="285" spans="1:10" x14ac:dyDescent="0.35">
      <c r="A285" s="17">
        <v>45305</v>
      </c>
      <c r="B285" s="10" t="s">
        <v>10</v>
      </c>
      <c r="C285" s="10">
        <v>20</v>
      </c>
      <c r="D285" s="10">
        <v>15</v>
      </c>
      <c r="E285" s="10">
        <v>516</v>
      </c>
      <c r="F285" s="10">
        <v>0.75</v>
      </c>
      <c r="G285" s="11">
        <v>750</v>
      </c>
      <c r="H285" s="15">
        <f t="shared" si="4"/>
        <v>1.4534883720930232</v>
      </c>
      <c r="I285" s="15">
        <f>Table2[[#This Row],[Ad Spend]]/Table2[[#This Row],[Leads]]</f>
        <v>25.8</v>
      </c>
      <c r="J285" s="15">
        <f>Table2[[#This Row],[Ad Spend]]/Table2[[#This Row],[Conversions]]</f>
        <v>34.4</v>
      </c>
    </row>
    <row r="286" spans="1:10" x14ac:dyDescent="0.35">
      <c r="A286" s="16">
        <v>45306</v>
      </c>
      <c r="B286" s="8" t="s">
        <v>10</v>
      </c>
      <c r="C286" s="8">
        <v>54</v>
      </c>
      <c r="D286" s="8">
        <v>25</v>
      </c>
      <c r="E286" s="8">
        <v>596</v>
      </c>
      <c r="F286" s="8">
        <v>0.46</v>
      </c>
      <c r="G286" s="9">
        <v>1250</v>
      </c>
      <c r="H286" s="15">
        <f t="shared" si="4"/>
        <v>2.0973154362416109</v>
      </c>
      <c r="I286" s="15">
        <f>Table2[[#This Row],[Ad Spend]]/Table2[[#This Row],[Leads]]</f>
        <v>11.037037037037036</v>
      </c>
      <c r="J286" s="15">
        <f>Table2[[#This Row],[Ad Spend]]/Table2[[#This Row],[Conversions]]</f>
        <v>23.84</v>
      </c>
    </row>
    <row r="287" spans="1:10" x14ac:dyDescent="0.35">
      <c r="A287" s="17">
        <v>45307</v>
      </c>
      <c r="B287" s="10" t="s">
        <v>10</v>
      </c>
      <c r="C287" s="10">
        <v>31</v>
      </c>
      <c r="D287" s="10">
        <v>39</v>
      </c>
      <c r="E287" s="10">
        <v>249</v>
      </c>
      <c r="F287" s="10">
        <v>1.26</v>
      </c>
      <c r="G287" s="11">
        <v>1950</v>
      </c>
      <c r="H287" s="15">
        <f t="shared" si="4"/>
        <v>7.831325301204819</v>
      </c>
      <c r="I287" s="15">
        <f>Table2[[#This Row],[Ad Spend]]/Table2[[#This Row],[Leads]]</f>
        <v>8.0322580645161299</v>
      </c>
      <c r="J287" s="15">
        <f>Table2[[#This Row],[Ad Spend]]/Table2[[#This Row],[Conversions]]</f>
        <v>6.384615384615385</v>
      </c>
    </row>
    <row r="288" spans="1:10" x14ac:dyDescent="0.35">
      <c r="A288" s="16">
        <v>45308</v>
      </c>
      <c r="B288" s="8" t="s">
        <v>10</v>
      </c>
      <c r="C288" s="8">
        <v>128</v>
      </c>
      <c r="D288" s="8">
        <v>39</v>
      </c>
      <c r="E288" s="8">
        <v>1389</v>
      </c>
      <c r="F288" s="8">
        <v>0.3</v>
      </c>
      <c r="G288" s="9">
        <v>1950</v>
      </c>
      <c r="H288" s="15">
        <f t="shared" si="4"/>
        <v>1.4038876889848813</v>
      </c>
      <c r="I288" s="15">
        <f>Table2[[#This Row],[Ad Spend]]/Table2[[#This Row],[Leads]]</f>
        <v>10.8515625</v>
      </c>
      <c r="J288" s="15">
        <f>Table2[[#This Row],[Ad Spend]]/Table2[[#This Row],[Conversions]]</f>
        <v>35.615384615384613</v>
      </c>
    </row>
    <row r="289" spans="1:10" x14ac:dyDescent="0.35">
      <c r="A289" s="17">
        <v>45309</v>
      </c>
      <c r="B289" s="10" t="s">
        <v>10</v>
      </c>
      <c r="C289" s="10">
        <v>101</v>
      </c>
      <c r="D289" s="10">
        <v>10</v>
      </c>
      <c r="E289" s="10">
        <v>1711</v>
      </c>
      <c r="F289" s="10">
        <v>0.1</v>
      </c>
      <c r="G289" s="11">
        <v>500</v>
      </c>
      <c r="H289" s="15">
        <f t="shared" si="4"/>
        <v>0.29222676797194624</v>
      </c>
      <c r="I289" s="15">
        <f>Table2[[#This Row],[Ad Spend]]/Table2[[#This Row],[Leads]]</f>
        <v>16.940594059405942</v>
      </c>
      <c r="J289" s="15">
        <f>Table2[[#This Row],[Ad Spend]]/Table2[[#This Row],[Conversions]]</f>
        <v>171.1</v>
      </c>
    </row>
    <row r="290" spans="1:10" x14ac:dyDescent="0.35">
      <c r="A290" s="16">
        <v>45310</v>
      </c>
      <c r="B290" s="8" t="s">
        <v>10</v>
      </c>
      <c r="C290" s="8">
        <v>93</v>
      </c>
      <c r="D290" s="8">
        <v>42</v>
      </c>
      <c r="E290" s="8">
        <v>245</v>
      </c>
      <c r="F290" s="8">
        <v>0.45</v>
      </c>
      <c r="G290" s="9">
        <v>2100</v>
      </c>
      <c r="H290" s="15">
        <f t="shared" si="4"/>
        <v>8.5714285714285712</v>
      </c>
      <c r="I290" s="15">
        <f>Table2[[#This Row],[Ad Spend]]/Table2[[#This Row],[Leads]]</f>
        <v>2.6344086021505375</v>
      </c>
      <c r="J290" s="15">
        <f>Table2[[#This Row],[Ad Spend]]/Table2[[#This Row],[Conversions]]</f>
        <v>5.833333333333333</v>
      </c>
    </row>
    <row r="291" spans="1:10" x14ac:dyDescent="0.35">
      <c r="A291" s="17">
        <v>45311</v>
      </c>
      <c r="B291" s="10" t="s">
        <v>10</v>
      </c>
      <c r="C291" s="10">
        <v>39</v>
      </c>
      <c r="D291" s="10">
        <v>32</v>
      </c>
      <c r="E291" s="10">
        <v>759</v>
      </c>
      <c r="F291" s="10">
        <v>0.82</v>
      </c>
      <c r="G291" s="11">
        <v>1600</v>
      </c>
      <c r="H291" s="15">
        <f t="shared" si="4"/>
        <v>2.1080368906455864</v>
      </c>
      <c r="I291" s="15">
        <f>Table2[[#This Row],[Ad Spend]]/Table2[[#This Row],[Leads]]</f>
        <v>19.46153846153846</v>
      </c>
      <c r="J291" s="15">
        <f>Table2[[#This Row],[Ad Spend]]/Table2[[#This Row],[Conversions]]</f>
        <v>23.71875</v>
      </c>
    </row>
    <row r="292" spans="1:10" x14ac:dyDescent="0.35">
      <c r="A292" s="16">
        <v>45312</v>
      </c>
      <c r="B292" s="8" t="s">
        <v>10</v>
      </c>
      <c r="C292" s="8">
        <v>92</v>
      </c>
      <c r="D292" s="8">
        <v>47</v>
      </c>
      <c r="E292" s="8">
        <v>1388</v>
      </c>
      <c r="F292" s="8">
        <v>0.51</v>
      </c>
      <c r="G292" s="9">
        <v>2350</v>
      </c>
      <c r="H292" s="15">
        <f t="shared" si="4"/>
        <v>1.6930835734870318</v>
      </c>
      <c r="I292" s="15">
        <f>Table2[[#This Row],[Ad Spend]]/Table2[[#This Row],[Leads]]</f>
        <v>15.086956521739131</v>
      </c>
      <c r="J292" s="15">
        <f>Table2[[#This Row],[Ad Spend]]/Table2[[#This Row],[Conversions]]</f>
        <v>29.531914893617021</v>
      </c>
    </row>
    <row r="293" spans="1:10" x14ac:dyDescent="0.35">
      <c r="A293" s="17">
        <v>45313</v>
      </c>
      <c r="B293" s="10" t="s">
        <v>10</v>
      </c>
      <c r="C293" s="10">
        <v>66</v>
      </c>
      <c r="D293" s="10">
        <v>5</v>
      </c>
      <c r="E293" s="10">
        <v>1564</v>
      </c>
      <c r="F293" s="10">
        <v>0.08</v>
      </c>
      <c r="G293" s="11">
        <v>250</v>
      </c>
      <c r="H293" s="15">
        <f t="shared" si="4"/>
        <v>0.15984654731457801</v>
      </c>
      <c r="I293" s="15">
        <f>Table2[[#This Row],[Ad Spend]]/Table2[[#This Row],[Leads]]</f>
        <v>23.696969696969695</v>
      </c>
      <c r="J293" s="15">
        <f>Table2[[#This Row],[Ad Spend]]/Table2[[#This Row],[Conversions]]</f>
        <v>312.8</v>
      </c>
    </row>
    <row r="294" spans="1:10" x14ac:dyDescent="0.35">
      <c r="A294" s="16">
        <v>45314</v>
      </c>
      <c r="B294" s="8" t="s">
        <v>10</v>
      </c>
      <c r="C294" s="8">
        <v>109</v>
      </c>
      <c r="D294" s="8">
        <v>15</v>
      </c>
      <c r="E294" s="8">
        <v>1720</v>
      </c>
      <c r="F294" s="8">
        <v>0.14000000000000001</v>
      </c>
      <c r="G294" s="9">
        <v>750</v>
      </c>
      <c r="H294" s="15">
        <f t="shared" si="4"/>
        <v>0.43604651162790697</v>
      </c>
      <c r="I294" s="15">
        <f>Table2[[#This Row],[Ad Spend]]/Table2[[#This Row],[Leads]]</f>
        <v>15.779816513761467</v>
      </c>
      <c r="J294" s="15">
        <f>Table2[[#This Row],[Ad Spend]]/Table2[[#This Row],[Conversions]]</f>
        <v>114.66666666666667</v>
      </c>
    </row>
    <row r="295" spans="1:10" x14ac:dyDescent="0.35">
      <c r="A295" s="17">
        <v>45315</v>
      </c>
      <c r="B295" s="10" t="s">
        <v>10</v>
      </c>
      <c r="C295" s="10">
        <v>130</v>
      </c>
      <c r="D295" s="10">
        <v>48</v>
      </c>
      <c r="E295" s="10">
        <v>1332</v>
      </c>
      <c r="F295" s="10">
        <v>0.37</v>
      </c>
      <c r="G295" s="11">
        <v>2400</v>
      </c>
      <c r="H295" s="15">
        <f t="shared" si="4"/>
        <v>1.8018018018018018</v>
      </c>
      <c r="I295" s="15">
        <f>Table2[[#This Row],[Ad Spend]]/Table2[[#This Row],[Leads]]</f>
        <v>10.246153846153845</v>
      </c>
      <c r="J295" s="15">
        <f>Table2[[#This Row],[Ad Spend]]/Table2[[#This Row],[Conversions]]</f>
        <v>27.75</v>
      </c>
    </row>
    <row r="296" spans="1:10" x14ac:dyDescent="0.35">
      <c r="A296" s="16">
        <v>45316</v>
      </c>
      <c r="B296" s="8" t="s">
        <v>10</v>
      </c>
      <c r="C296" s="8">
        <v>37</v>
      </c>
      <c r="D296" s="8">
        <v>41</v>
      </c>
      <c r="E296" s="8">
        <v>1669</v>
      </c>
      <c r="F296" s="8">
        <v>1.1100000000000001</v>
      </c>
      <c r="G296" s="9">
        <v>2050</v>
      </c>
      <c r="H296" s="15">
        <f t="shared" si="4"/>
        <v>1.2282804074295985</v>
      </c>
      <c r="I296" s="15">
        <f>Table2[[#This Row],[Ad Spend]]/Table2[[#This Row],[Leads]]</f>
        <v>45.108108108108105</v>
      </c>
      <c r="J296" s="15">
        <f>Table2[[#This Row],[Ad Spend]]/Table2[[#This Row],[Conversions]]</f>
        <v>40.707317073170735</v>
      </c>
    </row>
    <row r="297" spans="1:10" x14ac:dyDescent="0.35">
      <c r="A297" s="17">
        <v>45317</v>
      </c>
      <c r="B297" s="10" t="s">
        <v>10</v>
      </c>
      <c r="C297" s="10">
        <v>50</v>
      </c>
      <c r="D297" s="10">
        <v>12</v>
      </c>
      <c r="E297" s="10">
        <v>601</v>
      </c>
      <c r="F297" s="10">
        <v>0.24</v>
      </c>
      <c r="G297" s="11">
        <v>600</v>
      </c>
      <c r="H297" s="15">
        <f t="shared" si="4"/>
        <v>0.99833610648918469</v>
      </c>
      <c r="I297" s="15">
        <f>Table2[[#This Row],[Ad Spend]]/Table2[[#This Row],[Leads]]</f>
        <v>12.02</v>
      </c>
      <c r="J297" s="15">
        <f>Table2[[#This Row],[Ad Spend]]/Table2[[#This Row],[Conversions]]</f>
        <v>50.083333333333336</v>
      </c>
    </row>
    <row r="298" spans="1:10" x14ac:dyDescent="0.35">
      <c r="A298" s="16">
        <v>45318</v>
      </c>
      <c r="B298" s="8" t="s">
        <v>10</v>
      </c>
      <c r="C298" s="8">
        <v>88</v>
      </c>
      <c r="D298" s="8">
        <v>44</v>
      </c>
      <c r="E298" s="8">
        <v>1881</v>
      </c>
      <c r="F298" s="8">
        <v>0.5</v>
      </c>
      <c r="G298" s="9">
        <v>2200</v>
      </c>
      <c r="H298" s="15">
        <f t="shared" si="4"/>
        <v>1.1695906432748537</v>
      </c>
      <c r="I298" s="15">
        <f>Table2[[#This Row],[Ad Spend]]/Table2[[#This Row],[Leads]]</f>
        <v>21.375</v>
      </c>
      <c r="J298" s="15">
        <f>Table2[[#This Row],[Ad Spend]]/Table2[[#This Row],[Conversions]]</f>
        <v>42.75</v>
      </c>
    </row>
    <row r="299" spans="1:10" x14ac:dyDescent="0.35">
      <c r="A299" s="17">
        <v>45319</v>
      </c>
      <c r="B299" s="10" t="s">
        <v>10</v>
      </c>
      <c r="C299" s="10">
        <v>86</v>
      </c>
      <c r="D299" s="10">
        <v>37</v>
      </c>
      <c r="E299" s="10">
        <v>1029</v>
      </c>
      <c r="F299" s="10">
        <v>0.43</v>
      </c>
      <c r="G299" s="11">
        <v>1850</v>
      </c>
      <c r="H299" s="15">
        <f t="shared" si="4"/>
        <v>1.7978620019436347</v>
      </c>
      <c r="I299" s="15">
        <f>Table2[[#This Row],[Ad Spend]]/Table2[[#This Row],[Leads]]</f>
        <v>11.965116279069768</v>
      </c>
      <c r="J299" s="15">
        <f>Table2[[#This Row],[Ad Spend]]/Table2[[#This Row],[Conversions]]</f>
        <v>27.810810810810811</v>
      </c>
    </row>
    <row r="300" spans="1:10" x14ac:dyDescent="0.35">
      <c r="A300" s="16">
        <v>45320</v>
      </c>
      <c r="B300" s="8" t="s">
        <v>10</v>
      </c>
      <c r="C300" s="8">
        <v>136</v>
      </c>
      <c r="D300" s="8">
        <v>21</v>
      </c>
      <c r="E300" s="8">
        <v>445</v>
      </c>
      <c r="F300" s="8">
        <v>0.15</v>
      </c>
      <c r="G300" s="9">
        <v>1050</v>
      </c>
      <c r="H300" s="15">
        <f t="shared" si="4"/>
        <v>2.3595505617977528</v>
      </c>
      <c r="I300" s="15">
        <f>Table2[[#This Row],[Ad Spend]]/Table2[[#This Row],[Leads]]</f>
        <v>3.2720588235294117</v>
      </c>
      <c r="J300" s="15">
        <f>Table2[[#This Row],[Ad Spend]]/Table2[[#This Row],[Conversions]]</f>
        <v>21.19047619047619</v>
      </c>
    </row>
    <row r="301" spans="1:10" x14ac:dyDescent="0.35">
      <c r="A301" s="17">
        <v>45321</v>
      </c>
      <c r="B301" s="10" t="s">
        <v>10</v>
      </c>
      <c r="C301" s="10">
        <v>133</v>
      </c>
      <c r="D301" s="10">
        <v>6</v>
      </c>
      <c r="E301" s="10">
        <v>1864</v>
      </c>
      <c r="F301" s="10">
        <v>0.05</v>
      </c>
      <c r="G301" s="11">
        <v>300</v>
      </c>
      <c r="H301" s="15">
        <f t="shared" si="4"/>
        <v>0.1609442060085837</v>
      </c>
      <c r="I301" s="15">
        <f>Table2[[#This Row],[Ad Spend]]/Table2[[#This Row],[Leads]]</f>
        <v>14.015037593984962</v>
      </c>
      <c r="J301" s="15">
        <f>Table2[[#This Row],[Ad Spend]]/Table2[[#This Row],[Conversions]]</f>
        <v>310.66666666666669</v>
      </c>
    </row>
    <row r="302" spans="1:10" x14ac:dyDescent="0.35">
      <c r="A302" s="16">
        <v>45322</v>
      </c>
      <c r="B302" s="8" t="s">
        <v>10</v>
      </c>
      <c r="C302" s="8">
        <v>30</v>
      </c>
      <c r="D302" s="8">
        <v>37</v>
      </c>
      <c r="E302" s="8">
        <v>109</v>
      </c>
      <c r="F302" s="8">
        <v>1.23</v>
      </c>
      <c r="G302" s="9">
        <v>1850</v>
      </c>
      <c r="H302" s="15">
        <f t="shared" si="4"/>
        <v>16.972477064220183</v>
      </c>
      <c r="I302" s="15">
        <f>Table2[[#This Row],[Ad Spend]]/Table2[[#This Row],[Leads]]</f>
        <v>3.6333333333333333</v>
      </c>
      <c r="J302" s="15">
        <f>Table2[[#This Row],[Ad Spend]]/Table2[[#This Row],[Conversions]]</f>
        <v>2.9459459459459461</v>
      </c>
    </row>
    <row r="303" spans="1:10" x14ac:dyDescent="0.35">
      <c r="A303" s="17">
        <v>45323</v>
      </c>
      <c r="B303" s="10" t="s">
        <v>10</v>
      </c>
      <c r="C303" s="10">
        <v>59</v>
      </c>
      <c r="D303" s="10">
        <v>41</v>
      </c>
      <c r="E303" s="10">
        <v>1762</v>
      </c>
      <c r="F303" s="10">
        <v>0.69</v>
      </c>
      <c r="G303" s="11">
        <v>2050</v>
      </c>
      <c r="H303" s="15">
        <f t="shared" si="4"/>
        <v>1.1634506242905789</v>
      </c>
      <c r="I303" s="15">
        <f>Table2[[#This Row],[Ad Spend]]/Table2[[#This Row],[Leads]]</f>
        <v>29.864406779661017</v>
      </c>
      <c r="J303" s="15">
        <f>Table2[[#This Row],[Ad Spend]]/Table2[[#This Row],[Conversions]]</f>
        <v>42.975609756097562</v>
      </c>
    </row>
    <row r="304" spans="1:10" x14ac:dyDescent="0.35">
      <c r="A304" s="16">
        <v>45324</v>
      </c>
      <c r="B304" s="8" t="s">
        <v>10</v>
      </c>
      <c r="C304" s="8">
        <v>83</v>
      </c>
      <c r="D304" s="8">
        <v>35</v>
      </c>
      <c r="E304" s="8">
        <v>1990</v>
      </c>
      <c r="F304" s="8">
        <v>0.42</v>
      </c>
      <c r="G304" s="9">
        <v>1750</v>
      </c>
      <c r="H304" s="15">
        <f t="shared" si="4"/>
        <v>0.87939698492462315</v>
      </c>
      <c r="I304" s="15">
        <f>Table2[[#This Row],[Ad Spend]]/Table2[[#This Row],[Leads]]</f>
        <v>23.975903614457831</v>
      </c>
      <c r="J304" s="15">
        <f>Table2[[#This Row],[Ad Spend]]/Table2[[#This Row],[Conversions]]</f>
        <v>56.857142857142854</v>
      </c>
    </row>
    <row r="305" spans="1:10" x14ac:dyDescent="0.35">
      <c r="A305" s="17">
        <v>45325</v>
      </c>
      <c r="B305" s="10" t="s">
        <v>10</v>
      </c>
      <c r="C305" s="10">
        <v>99</v>
      </c>
      <c r="D305" s="10">
        <v>15</v>
      </c>
      <c r="E305" s="10">
        <v>1050</v>
      </c>
      <c r="F305" s="10">
        <v>0.15</v>
      </c>
      <c r="G305" s="11">
        <v>750</v>
      </c>
      <c r="H305" s="15">
        <f t="shared" si="4"/>
        <v>0.7142857142857143</v>
      </c>
      <c r="I305" s="15">
        <f>Table2[[#This Row],[Ad Spend]]/Table2[[#This Row],[Leads]]</f>
        <v>10.606060606060606</v>
      </c>
      <c r="J305" s="15">
        <f>Table2[[#This Row],[Ad Spend]]/Table2[[#This Row],[Conversions]]</f>
        <v>70</v>
      </c>
    </row>
    <row r="306" spans="1:10" x14ac:dyDescent="0.35">
      <c r="A306" s="16">
        <v>45326</v>
      </c>
      <c r="B306" s="8" t="s">
        <v>10</v>
      </c>
      <c r="C306" s="8">
        <v>46</v>
      </c>
      <c r="D306" s="8">
        <v>37</v>
      </c>
      <c r="E306" s="8">
        <v>1563</v>
      </c>
      <c r="F306" s="8">
        <v>0.8</v>
      </c>
      <c r="G306" s="9">
        <v>1850</v>
      </c>
      <c r="H306" s="15">
        <f t="shared" si="4"/>
        <v>1.1836212412028151</v>
      </c>
      <c r="I306" s="15">
        <f>Table2[[#This Row],[Ad Spend]]/Table2[[#This Row],[Leads]]</f>
        <v>33.978260869565219</v>
      </c>
      <c r="J306" s="15">
        <f>Table2[[#This Row],[Ad Spend]]/Table2[[#This Row],[Conversions]]</f>
        <v>42.243243243243242</v>
      </c>
    </row>
    <row r="307" spans="1:10" x14ac:dyDescent="0.35">
      <c r="A307" s="17">
        <v>45327</v>
      </c>
      <c r="B307" s="10" t="s">
        <v>10</v>
      </c>
      <c r="C307" s="10">
        <v>56</v>
      </c>
      <c r="D307" s="10">
        <v>27</v>
      </c>
      <c r="E307" s="10">
        <v>1497</v>
      </c>
      <c r="F307" s="10">
        <v>0.48</v>
      </c>
      <c r="G307" s="11">
        <v>1350</v>
      </c>
      <c r="H307" s="15">
        <f t="shared" si="4"/>
        <v>0.90180360721442887</v>
      </c>
      <c r="I307" s="15">
        <f>Table2[[#This Row],[Ad Spend]]/Table2[[#This Row],[Leads]]</f>
        <v>26.732142857142858</v>
      </c>
      <c r="J307" s="15">
        <f>Table2[[#This Row],[Ad Spend]]/Table2[[#This Row],[Conversions]]</f>
        <v>55.444444444444443</v>
      </c>
    </row>
    <row r="308" spans="1:10" x14ac:dyDescent="0.35">
      <c r="A308" s="16">
        <v>45328</v>
      </c>
      <c r="B308" s="8" t="s">
        <v>10</v>
      </c>
      <c r="C308" s="8">
        <v>77</v>
      </c>
      <c r="D308" s="8">
        <v>6</v>
      </c>
      <c r="E308" s="8">
        <v>1670</v>
      </c>
      <c r="F308" s="8">
        <v>0.08</v>
      </c>
      <c r="G308" s="9">
        <v>300</v>
      </c>
      <c r="H308" s="15">
        <f t="shared" si="4"/>
        <v>0.17964071856287425</v>
      </c>
      <c r="I308" s="15">
        <f>Table2[[#This Row],[Ad Spend]]/Table2[[#This Row],[Leads]]</f>
        <v>21.688311688311689</v>
      </c>
      <c r="J308" s="15">
        <f>Table2[[#This Row],[Ad Spend]]/Table2[[#This Row],[Conversions]]</f>
        <v>278.33333333333331</v>
      </c>
    </row>
    <row r="309" spans="1:10" x14ac:dyDescent="0.35">
      <c r="A309" s="17">
        <v>45329</v>
      </c>
      <c r="B309" s="10" t="s">
        <v>10</v>
      </c>
      <c r="C309" s="10">
        <v>36</v>
      </c>
      <c r="D309" s="10">
        <v>39</v>
      </c>
      <c r="E309" s="10">
        <v>1623</v>
      </c>
      <c r="F309" s="10">
        <v>1.08</v>
      </c>
      <c r="G309" s="11">
        <v>1950</v>
      </c>
      <c r="H309" s="15">
        <f t="shared" si="4"/>
        <v>1.201478743068392</v>
      </c>
      <c r="I309" s="15">
        <f>Table2[[#This Row],[Ad Spend]]/Table2[[#This Row],[Leads]]</f>
        <v>45.083333333333336</v>
      </c>
      <c r="J309" s="15">
        <f>Table2[[#This Row],[Ad Spend]]/Table2[[#This Row],[Conversions]]</f>
        <v>41.615384615384613</v>
      </c>
    </row>
    <row r="310" spans="1:10" x14ac:dyDescent="0.35">
      <c r="A310" s="16">
        <v>45330</v>
      </c>
      <c r="B310" s="8" t="s">
        <v>10</v>
      </c>
      <c r="C310" s="8">
        <v>84</v>
      </c>
      <c r="D310" s="8">
        <v>31</v>
      </c>
      <c r="E310" s="8">
        <v>1205</v>
      </c>
      <c r="F310" s="8">
        <v>0.37</v>
      </c>
      <c r="G310" s="9">
        <v>1550</v>
      </c>
      <c r="H310" s="15">
        <f t="shared" si="4"/>
        <v>1.2863070539419088</v>
      </c>
      <c r="I310" s="15">
        <f>Table2[[#This Row],[Ad Spend]]/Table2[[#This Row],[Leads]]</f>
        <v>14.345238095238095</v>
      </c>
      <c r="J310" s="15">
        <f>Table2[[#This Row],[Ad Spend]]/Table2[[#This Row],[Conversions]]</f>
        <v>38.87096774193548</v>
      </c>
    </row>
    <row r="311" spans="1:10" x14ac:dyDescent="0.35">
      <c r="A311" s="17">
        <v>45331</v>
      </c>
      <c r="B311" s="10" t="s">
        <v>10</v>
      </c>
      <c r="C311" s="10">
        <v>142</v>
      </c>
      <c r="D311" s="10">
        <v>38</v>
      </c>
      <c r="E311" s="10">
        <v>373</v>
      </c>
      <c r="F311" s="10">
        <v>0.27</v>
      </c>
      <c r="G311" s="11">
        <v>1900</v>
      </c>
      <c r="H311" s="15">
        <f t="shared" si="4"/>
        <v>5.0938337801608577</v>
      </c>
      <c r="I311" s="15">
        <f>Table2[[#This Row],[Ad Spend]]/Table2[[#This Row],[Leads]]</f>
        <v>2.6267605633802815</v>
      </c>
      <c r="J311" s="15">
        <f>Table2[[#This Row],[Ad Spend]]/Table2[[#This Row],[Conversions]]</f>
        <v>9.8157894736842106</v>
      </c>
    </row>
    <row r="312" spans="1:10" x14ac:dyDescent="0.35">
      <c r="A312" s="16">
        <v>45332</v>
      </c>
      <c r="B312" s="8" t="s">
        <v>10</v>
      </c>
      <c r="C312" s="8">
        <v>28</v>
      </c>
      <c r="D312" s="8">
        <v>7</v>
      </c>
      <c r="E312" s="8">
        <v>1409</v>
      </c>
      <c r="F312" s="8">
        <v>0.25</v>
      </c>
      <c r="G312" s="9">
        <v>350</v>
      </c>
      <c r="H312" s="15">
        <f t="shared" si="4"/>
        <v>0.24840312278211499</v>
      </c>
      <c r="I312" s="15">
        <f>Table2[[#This Row],[Ad Spend]]/Table2[[#This Row],[Leads]]</f>
        <v>50.321428571428569</v>
      </c>
      <c r="J312" s="15">
        <f>Table2[[#This Row],[Ad Spend]]/Table2[[#This Row],[Conversions]]</f>
        <v>201.28571428571428</v>
      </c>
    </row>
    <row r="313" spans="1:10" x14ac:dyDescent="0.35">
      <c r="A313" s="17">
        <v>45333</v>
      </c>
      <c r="B313" s="10" t="s">
        <v>10</v>
      </c>
      <c r="C313" s="10">
        <v>125</v>
      </c>
      <c r="D313" s="10">
        <v>29</v>
      </c>
      <c r="E313" s="10">
        <v>1076</v>
      </c>
      <c r="F313" s="10">
        <v>0.23</v>
      </c>
      <c r="G313" s="11">
        <v>1450</v>
      </c>
      <c r="H313" s="15">
        <f t="shared" si="4"/>
        <v>1.3475836431226766</v>
      </c>
      <c r="I313" s="15">
        <f>Table2[[#This Row],[Ad Spend]]/Table2[[#This Row],[Leads]]</f>
        <v>8.6080000000000005</v>
      </c>
      <c r="J313" s="15">
        <f>Table2[[#This Row],[Ad Spend]]/Table2[[#This Row],[Conversions]]</f>
        <v>37.103448275862071</v>
      </c>
    </row>
    <row r="314" spans="1:10" x14ac:dyDescent="0.35">
      <c r="A314" s="16">
        <v>45334</v>
      </c>
      <c r="B314" s="8" t="s">
        <v>10</v>
      </c>
      <c r="C314" s="8">
        <v>31</v>
      </c>
      <c r="D314" s="8">
        <v>9</v>
      </c>
      <c r="E314" s="8">
        <v>371</v>
      </c>
      <c r="F314" s="8">
        <v>0.28999999999999998</v>
      </c>
      <c r="G314" s="9">
        <v>450</v>
      </c>
      <c r="H314" s="15">
        <f t="shared" si="4"/>
        <v>1.2129380053908356</v>
      </c>
      <c r="I314" s="15">
        <f>Table2[[#This Row],[Ad Spend]]/Table2[[#This Row],[Leads]]</f>
        <v>11.96774193548387</v>
      </c>
      <c r="J314" s="15">
        <f>Table2[[#This Row],[Ad Spend]]/Table2[[#This Row],[Conversions]]</f>
        <v>41.222222222222221</v>
      </c>
    </row>
    <row r="315" spans="1:10" x14ac:dyDescent="0.35">
      <c r="A315" s="17">
        <v>45335</v>
      </c>
      <c r="B315" s="10" t="s">
        <v>10</v>
      </c>
      <c r="C315" s="10">
        <v>89</v>
      </c>
      <c r="D315" s="10">
        <v>42</v>
      </c>
      <c r="E315" s="10">
        <v>1984</v>
      </c>
      <c r="F315" s="10">
        <v>0.47</v>
      </c>
      <c r="G315" s="11">
        <v>2100</v>
      </c>
      <c r="H315" s="15">
        <f t="shared" si="4"/>
        <v>1.0584677419354838</v>
      </c>
      <c r="I315" s="15">
        <f>Table2[[#This Row],[Ad Spend]]/Table2[[#This Row],[Leads]]</f>
        <v>22.292134831460675</v>
      </c>
      <c r="J315" s="15">
        <f>Table2[[#This Row],[Ad Spend]]/Table2[[#This Row],[Conversions]]</f>
        <v>47.238095238095241</v>
      </c>
    </row>
    <row r="316" spans="1:10" x14ac:dyDescent="0.35">
      <c r="A316" s="16">
        <v>45336</v>
      </c>
      <c r="B316" s="8" t="s">
        <v>10</v>
      </c>
      <c r="C316" s="8">
        <v>81</v>
      </c>
      <c r="D316" s="8">
        <v>40</v>
      </c>
      <c r="E316" s="8">
        <v>352</v>
      </c>
      <c r="F316" s="8">
        <v>0.49</v>
      </c>
      <c r="G316" s="9">
        <v>2000</v>
      </c>
      <c r="H316" s="15">
        <f t="shared" si="4"/>
        <v>5.6818181818181817</v>
      </c>
      <c r="I316" s="15">
        <f>Table2[[#This Row],[Ad Spend]]/Table2[[#This Row],[Leads]]</f>
        <v>4.3456790123456788</v>
      </c>
      <c r="J316" s="15">
        <f>Table2[[#This Row],[Ad Spend]]/Table2[[#This Row],[Conversions]]</f>
        <v>8.8000000000000007</v>
      </c>
    </row>
    <row r="317" spans="1:10" x14ac:dyDescent="0.35">
      <c r="A317" s="17">
        <v>45337</v>
      </c>
      <c r="B317" s="10" t="s">
        <v>10</v>
      </c>
      <c r="C317" s="10">
        <v>26</v>
      </c>
      <c r="D317" s="10">
        <v>26</v>
      </c>
      <c r="E317" s="10">
        <v>750</v>
      </c>
      <c r="F317" s="10">
        <v>1</v>
      </c>
      <c r="G317" s="11">
        <v>1300</v>
      </c>
      <c r="H317" s="15">
        <f t="shared" si="4"/>
        <v>1.7333333333333334</v>
      </c>
      <c r="I317" s="15">
        <f>Table2[[#This Row],[Ad Spend]]/Table2[[#This Row],[Leads]]</f>
        <v>28.846153846153847</v>
      </c>
      <c r="J317" s="15">
        <f>Table2[[#This Row],[Ad Spend]]/Table2[[#This Row],[Conversions]]</f>
        <v>28.846153846153847</v>
      </c>
    </row>
    <row r="318" spans="1:10" x14ac:dyDescent="0.35">
      <c r="A318" s="16">
        <v>45338</v>
      </c>
      <c r="B318" s="8" t="s">
        <v>10</v>
      </c>
      <c r="C318" s="8">
        <v>142</v>
      </c>
      <c r="D318" s="8">
        <v>21</v>
      </c>
      <c r="E318" s="8">
        <v>209</v>
      </c>
      <c r="F318" s="8">
        <v>0.15</v>
      </c>
      <c r="G318" s="9">
        <v>1050</v>
      </c>
      <c r="H318" s="15">
        <f t="shared" si="4"/>
        <v>5.0239234449760763</v>
      </c>
      <c r="I318" s="15">
        <f>Table2[[#This Row],[Ad Spend]]/Table2[[#This Row],[Leads]]</f>
        <v>1.471830985915493</v>
      </c>
      <c r="J318" s="15">
        <f>Table2[[#This Row],[Ad Spend]]/Table2[[#This Row],[Conversions]]</f>
        <v>9.9523809523809526</v>
      </c>
    </row>
    <row r="319" spans="1:10" x14ac:dyDescent="0.35">
      <c r="A319" s="17">
        <v>45339</v>
      </c>
      <c r="B319" s="10" t="s">
        <v>10</v>
      </c>
      <c r="C319" s="10">
        <v>126</v>
      </c>
      <c r="D319" s="10">
        <v>30</v>
      </c>
      <c r="E319" s="10">
        <v>1006</v>
      </c>
      <c r="F319" s="10">
        <v>0.24</v>
      </c>
      <c r="G319" s="11">
        <v>1500</v>
      </c>
      <c r="H319" s="15">
        <f t="shared" si="4"/>
        <v>1.4910536779324055</v>
      </c>
      <c r="I319" s="15">
        <f>Table2[[#This Row],[Ad Spend]]/Table2[[#This Row],[Leads]]</f>
        <v>7.9841269841269842</v>
      </c>
      <c r="J319" s="15">
        <f>Table2[[#This Row],[Ad Spend]]/Table2[[#This Row],[Conversions]]</f>
        <v>33.533333333333331</v>
      </c>
    </row>
    <row r="320" spans="1:10" x14ac:dyDescent="0.35">
      <c r="A320" s="16">
        <v>45340</v>
      </c>
      <c r="B320" s="8" t="s">
        <v>10</v>
      </c>
      <c r="C320" s="8">
        <v>50</v>
      </c>
      <c r="D320" s="8">
        <v>25</v>
      </c>
      <c r="E320" s="8">
        <v>1748</v>
      </c>
      <c r="F320" s="8">
        <v>0.5</v>
      </c>
      <c r="G320" s="9">
        <v>1250</v>
      </c>
      <c r="H320" s="15">
        <f t="shared" si="4"/>
        <v>0.71510297482837526</v>
      </c>
      <c r="I320" s="15">
        <f>Table2[[#This Row],[Ad Spend]]/Table2[[#This Row],[Leads]]</f>
        <v>34.96</v>
      </c>
      <c r="J320" s="15">
        <f>Table2[[#This Row],[Ad Spend]]/Table2[[#This Row],[Conversions]]</f>
        <v>69.92</v>
      </c>
    </row>
    <row r="321" spans="1:10" x14ac:dyDescent="0.35">
      <c r="A321" s="17">
        <v>45341</v>
      </c>
      <c r="B321" s="10" t="s">
        <v>10</v>
      </c>
      <c r="C321" s="10">
        <v>37</v>
      </c>
      <c r="D321" s="10">
        <v>49</v>
      </c>
      <c r="E321" s="10">
        <v>942</v>
      </c>
      <c r="F321" s="10">
        <v>1.32</v>
      </c>
      <c r="G321" s="11">
        <v>2450</v>
      </c>
      <c r="H321" s="15">
        <f t="shared" si="4"/>
        <v>2.6008492569002124</v>
      </c>
      <c r="I321" s="15">
        <f>Table2[[#This Row],[Ad Spend]]/Table2[[#This Row],[Leads]]</f>
        <v>25.45945945945946</v>
      </c>
      <c r="J321" s="15">
        <f>Table2[[#This Row],[Ad Spend]]/Table2[[#This Row],[Conversions]]</f>
        <v>19.224489795918366</v>
      </c>
    </row>
    <row r="322" spans="1:10" x14ac:dyDescent="0.35">
      <c r="A322" s="16">
        <v>45342</v>
      </c>
      <c r="B322" s="8" t="s">
        <v>10</v>
      </c>
      <c r="C322" s="8">
        <v>88</v>
      </c>
      <c r="D322" s="8">
        <v>28</v>
      </c>
      <c r="E322" s="8">
        <v>1047</v>
      </c>
      <c r="F322" s="8">
        <v>0.32</v>
      </c>
      <c r="G322" s="9">
        <v>1400</v>
      </c>
      <c r="H322" s="15">
        <f t="shared" si="4"/>
        <v>1.3371537726838587</v>
      </c>
      <c r="I322" s="15">
        <f>Table2[[#This Row],[Ad Spend]]/Table2[[#This Row],[Leads]]</f>
        <v>11.897727272727273</v>
      </c>
      <c r="J322" s="15">
        <f>Table2[[#This Row],[Ad Spend]]/Table2[[#This Row],[Conversions]]</f>
        <v>37.392857142857146</v>
      </c>
    </row>
    <row r="323" spans="1:10" x14ac:dyDescent="0.35">
      <c r="A323" s="17">
        <v>45343</v>
      </c>
      <c r="B323" s="10" t="s">
        <v>10</v>
      </c>
      <c r="C323" s="10">
        <v>140</v>
      </c>
      <c r="D323" s="10">
        <v>36</v>
      </c>
      <c r="E323" s="10">
        <v>1903</v>
      </c>
      <c r="F323" s="10">
        <v>0.26</v>
      </c>
      <c r="G323" s="11">
        <v>1800</v>
      </c>
      <c r="H323" s="15">
        <f t="shared" ref="H323:H361" si="5">G323/E323</f>
        <v>0.94587493431424063</v>
      </c>
      <c r="I323" s="15">
        <f>Table2[[#This Row],[Ad Spend]]/Table2[[#This Row],[Leads]]</f>
        <v>13.592857142857143</v>
      </c>
      <c r="J323" s="15">
        <f>Table2[[#This Row],[Ad Spend]]/Table2[[#This Row],[Conversions]]</f>
        <v>52.861111111111114</v>
      </c>
    </row>
    <row r="324" spans="1:10" x14ac:dyDescent="0.35">
      <c r="A324" s="16">
        <v>45344</v>
      </c>
      <c r="B324" s="8" t="s">
        <v>10</v>
      </c>
      <c r="C324" s="8">
        <v>28</v>
      </c>
      <c r="D324" s="8">
        <v>11</v>
      </c>
      <c r="E324" s="8">
        <v>1260</v>
      </c>
      <c r="F324" s="8">
        <v>0.39</v>
      </c>
      <c r="G324" s="9">
        <v>550</v>
      </c>
      <c r="H324" s="15">
        <f t="shared" si="5"/>
        <v>0.43650793650793651</v>
      </c>
      <c r="I324" s="15">
        <f>Table2[[#This Row],[Ad Spend]]/Table2[[#This Row],[Leads]]</f>
        <v>45</v>
      </c>
      <c r="J324" s="15">
        <f>Table2[[#This Row],[Ad Spend]]/Table2[[#This Row],[Conversions]]</f>
        <v>114.54545454545455</v>
      </c>
    </row>
    <row r="325" spans="1:10" x14ac:dyDescent="0.35">
      <c r="A325" s="17">
        <v>45345</v>
      </c>
      <c r="B325" s="10" t="s">
        <v>10</v>
      </c>
      <c r="C325" s="10">
        <v>148</v>
      </c>
      <c r="D325" s="10">
        <v>36</v>
      </c>
      <c r="E325" s="10">
        <v>1001</v>
      </c>
      <c r="F325" s="10">
        <v>0.24</v>
      </c>
      <c r="G325" s="11">
        <v>1800</v>
      </c>
      <c r="H325" s="15">
        <f t="shared" si="5"/>
        <v>1.7982017982017982</v>
      </c>
      <c r="I325" s="15">
        <f>Table2[[#This Row],[Ad Spend]]/Table2[[#This Row],[Leads]]</f>
        <v>6.7635135135135132</v>
      </c>
      <c r="J325" s="15">
        <f>Table2[[#This Row],[Ad Spend]]/Table2[[#This Row],[Conversions]]</f>
        <v>27.805555555555557</v>
      </c>
    </row>
    <row r="326" spans="1:10" x14ac:dyDescent="0.35">
      <c r="A326" s="16">
        <v>45346</v>
      </c>
      <c r="B326" s="8" t="s">
        <v>10</v>
      </c>
      <c r="C326" s="8">
        <v>134</v>
      </c>
      <c r="D326" s="8">
        <v>27</v>
      </c>
      <c r="E326" s="8">
        <v>283</v>
      </c>
      <c r="F326" s="8">
        <v>0.2</v>
      </c>
      <c r="G326" s="9">
        <v>1350</v>
      </c>
      <c r="H326" s="15">
        <f t="shared" si="5"/>
        <v>4.7703180212014136</v>
      </c>
      <c r="I326" s="15">
        <f>Table2[[#This Row],[Ad Spend]]/Table2[[#This Row],[Leads]]</f>
        <v>2.1119402985074629</v>
      </c>
      <c r="J326" s="15">
        <f>Table2[[#This Row],[Ad Spend]]/Table2[[#This Row],[Conversions]]</f>
        <v>10.481481481481481</v>
      </c>
    </row>
    <row r="327" spans="1:10" x14ac:dyDescent="0.35">
      <c r="A327" s="17">
        <v>45347</v>
      </c>
      <c r="B327" s="10" t="s">
        <v>10</v>
      </c>
      <c r="C327" s="10">
        <v>80</v>
      </c>
      <c r="D327" s="10">
        <v>26</v>
      </c>
      <c r="E327" s="10">
        <v>1152</v>
      </c>
      <c r="F327" s="10">
        <v>0.32</v>
      </c>
      <c r="G327" s="11">
        <v>1300</v>
      </c>
      <c r="H327" s="15">
        <f t="shared" si="5"/>
        <v>1.1284722222222223</v>
      </c>
      <c r="I327" s="15">
        <f>Table2[[#This Row],[Ad Spend]]/Table2[[#This Row],[Leads]]</f>
        <v>14.4</v>
      </c>
      <c r="J327" s="15">
        <f>Table2[[#This Row],[Ad Spend]]/Table2[[#This Row],[Conversions]]</f>
        <v>44.307692307692307</v>
      </c>
    </row>
    <row r="328" spans="1:10" x14ac:dyDescent="0.35">
      <c r="A328" s="16">
        <v>45348</v>
      </c>
      <c r="B328" s="8" t="s">
        <v>10</v>
      </c>
      <c r="C328" s="8">
        <v>78</v>
      </c>
      <c r="D328" s="8">
        <v>27</v>
      </c>
      <c r="E328" s="8">
        <v>1650</v>
      </c>
      <c r="F328" s="8">
        <v>0.35</v>
      </c>
      <c r="G328" s="9">
        <v>1350</v>
      </c>
      <c r="H328" s="15">
        <f t="shared" si="5"/>
        <v>0.81818181818181823</v>
      </c>
      <c r="I328" s="15">
        <f>Table2[[#This Row],[Ad Spend]]/Table2[[#This Row],[Leads]]</f>
        <v>21.153846153846153</v>
      </c>
      <c r="J328" s="15">
        <f>Table2[[#This Row],[Ad Spend]]/Table2[[#This Row],[Conversions]]</f>
        <v>61.111111111111114</v>
      </c>
    </row>
    <row r="329" spans="1:10" x14ac:dyDescent="0.35">
      <c r="A329" s="17">
        <v>45349</v>
      </c>
      <c r="B329" s="10" t="s">
        <v>10</v>
      </c>
      <c r="C329" s="10">
        <v>122</v>
      </c>
      <c r="D329" s="10">
        <v>14</v>
      </c>
      <c r="E329" s="10">
        <v>518</v>
      </c>
      <c r="F329" s="10">
        <v>0.11</v>
      </c>
      <c r="G329" s="11">
        <v>700</v>
      </c>
      <c r="H329" s="15">
        <f t="shared" si="5"/>
        <v>1.3513513513513513</v>
      </c>
      <c r="I329" s="15">
        <f>Table2[[#This Row],[Ad Spend]]/Table2[[#This Row],[Leads]]</f>
        <v>4.2459016393442619</v>
      </c>
      <c r="J329" s="15">
        <f>Table2[[#This Row],[Ad Spend]]/Table2[[#This Row],[Conversions]]</f>
        <v>37</v>
      </c>
    </row>
    <row r="330" spans="1:10" x14ac:dyDescent="0.35">
      <c r="A330" s="16">
        <v>45350</v>
      </c>
      <c r="B330" s="8" t="s">
        <v>10</v>
      </c>
      <c r="C330" s="8">
        <v>71</v>
      </c>
      <c r="D330" s="8">
        <v>45</v>
      </c>
      <c r="E330" s="8">
        <v>338</v>
      </c>
      <c r="F330" s="8">
        <v>0.63</v>
      </c>
      <c r="G330" s="9">
        <v>2250</v>
      </c>
      <c r="H330" s="15">
        <f t="shared" si="5"/>
        <v>6.6568047337278102</v>
      </c>
      <c r="I330" s="15">
        <f>Table2[[#This Row],[Ad Spend]]/Table2[[#This Row],[Leads]]</f>
        <v>4.76056338028169</v>
      </c>
      <c r="J330" s="15">
        <f>Table2[[#This Row],[Ad Spend]]/Table2[[#This Row],[Conversions]]</f>
        <v>7.5111111111111111</v>
      </c>
    </row>
    <row r="331" spans="1:10" x14ac:dyDescent="0.35">
      <c r="A331" s="17">
        <v>45351</v>
      </c>
      <c r="B331" s="10" t="s">
        <v>10</v>
      </c>
      <c r="C331" s="10">
        <v>133</v>
      </c>
      <c r="D331" s="10">
        <v>24</v>
      </c>
      <c r="E331" s="10">
        <v>469</v>
      </c>
      <c r="F331" s="10">
        <v>0.18</v>
      </c>
      <c r="G331" s="11">
        <v>1200</v>
      </c>
      <c r="H331" s="15">
        <f t="shared" si="5"/>
        <v>2.5586353944562901</v>
      </c>
      <c r="I331" s="15">
        <f>Table2[[#This Row],[Ad Spend]]/Table2[[#This Row],[Leads]]</f>
        <v>3.5263157894736841</v>
      </c>
      <c r="J331" s="15">
        <f>Table2[[#This Row],[Ad Spend]]/Table2[[#This Row],[Conversions]]</f>
        <v>19.541666666666668</v>
      </c>
    </row>
    <row r="332" spans="1:10" x14ac:dyDescent="0.35">
      <c r="A332" s="16">
        <v>45352</v>
      </c>
      <c r="B332" s="8" t="s">
        <v>10</v>
      </c>
      <c r="C332" s="8">
        <v>93</v>
      </c>
      <c r="D332" s="8">
        <v>46</v>
      </c>
      <c r="E332" s="8">
        <v>1723</v>
      </c>
      <c r="F332" s="8">
        <v>0.49</v>
      </c>
      <c r="G332" s="9">
        <v>2300</v>
      </c>
      <c r="H332" s="15">
        <f t="shared" si="5"/>
        <v>1.3348810214741729</v>
      </c>
      <c r="I332" s="15">
        <f>Table2[[#This Row],[Ad Spend]]/Table2[[#This Row],[Leads]]</f>
        <v>18.526881720430108</v>
      </c>
      <c r="J332" s="15">
        <f>Table2[[#This Row],[Ad Spend]]/Table2[[#This Row],[Conversions]]</f>
        <v>37.456521739130437</v>
      </c>
    </row>
    <row r="333" spans="1:10" x14ac:dyDescent="0.35">
      <c r="A333" s="17">
        <v>45353</v>
      </c>
      <c r="B333" s="10" t="s">
        <v>10</v>
      </c>
      <c r="C333" s="10">
        <v>42</v>
      </c>
      <c r="D333" s="10">
        <v>9</v>
      </c>
      <c r="E333" s="10">
        <v>1178</v>
      </c>
      <c r="F333" s="10">
        <v>0.21</v>
      </c>
      <c r="G333" s="11">
        <v>450</v>
      </c>
      <c r="H333" s="15">
        <f t="shared" si="5"/>
        <v>0.38200339558573854</v>
      </c>
      <c r="I333" s="15">
        <f>Table2[[#This Row],[Ad Spend]]/Table2[[#This Row],[Leads]]</f>
        <v>28.047619047619047</v>
      </c>
      <c r="J333" s="15">
        <f>Table2[[#This Row],[Ad Spend]]/Table2[[#This Row],[Conversions]]</f>
        <v>130.88888888888889</v>
      </c>
    </row>
    <row r="334" spans="1:10" x14ac:dyDescent="0.35">
      <c r="A334" s="16">
        <v>45354</v>
      </c>
      <c r="B334" s="8" t="s">
        <v>10</v>
      </c>
      <c r="C334" s="8">
        <v>139</v>
      </c>
      <c r="D334" s="8">
        <v>42</v>
      </c>
      <c r="E334" s="8">
        <v>375</v>
      </c>
      <c r="F334" s="8">
        <v>0.3</v>
      </c>
      <c r="G334" s="9">
        <v>2100</v>
      </c>
      <c r="H334" s="15">
        <f t="shared" si="5"/>
        <v>5.6</v>
      </c>
      <c r="I334" s="15">
        <f>Table2[[#This Row],[Ad Spend]]/Table2[[#This Row],[Leads]]</f>
        <v>2.6978417266187051</v>
      </c>
      <c r="J334" s="15">
        <f>Table2[[#This Row],[Ad Spend]]/Table2[[#This Row],[Conversions]]</f>
        <v>8.9285714285714288</v>
      </c>
    </row>
    <row r="335" spans="1:10" x14ac:dyDescent="0.35">
      <c r="A335" s="17">
        <v>45355</v>
      </c>
      <c r="B335" s="10" t="s">
        <v>10</v>
      </c>
      <c r="C335" s="10">
        <v>134</v>
      </c>
      <c r="D335" s="10">
        <v>37</v>
      </c>
      <c r="E335" s="10">
        <v>1650</v>
      </c>
      <c r="F335" s="10">
        <v>0.28000000000000003</v>
      </c>
      <c r="G335" s="11">
        <v>1850</v>
      </c>
      <c r="H335" s="15">
        <f t="shared" si="5"/>
        <v>1.1212121212121211</v>
      </c>
      <c r="I335" s="15">
        <f>Table2[[#This Row],[Ad Spend]]/Table2[[#This Row],[Leads]]</f>
        <v>12.313432835820896</v>
      </c>
      <c r="J335" s="15">
        <f>Table2[[#This Row],[Ad Spend]]/Table2[[#This Row],[Conversions]]</f>
        <v>44.594594594594597</v>
      </c>
    </row>
    <row r="336" spans="1:10" x14ac:dyDescent="0.35">
      <c r="A336" s="16">
        <v>45356</v>
      </c>
      <c r="B336" s="8" t="s">
        <v>10</v>
      </c>
      <c r="C336" s="8">
        <v>99</v>
      </c>
      <c r="D336" s="8">
        <v>12</v>
      </c>
      <c r="E336" s="8">
        <v>634</v>
      </c>
      <c r="F336" s="8">
        <v>0.12</v>
      </c>
      <c r="G336" s="9">
        <v>600</v>
      </c>
      <c r="H336" s="15">
        <f t="shared" si="5"/>
        <v>0.94637223974763407</v>
      </c>
      <c r="I336" s="15">
        <f>Table2[[#This Row],[Ad Spend]]/Table2[[#This Row],[Leads]]</f>
        <v>6.404040404040404</v>
      </c>
      <c r="J336" s="15">
        <f>Table2[[#This Row],[Ad Spend]]/Table2[[#This Row],[Conversions]]</f>
        <v>52.833333333333336</v>
      </c>
    </row>
    <row r="337" spans="1:10" x14ac:dyDescent="0.35">
      <c r="A337" s="17">
        <v>45357</v>
      </c>
      <c r="B337" s="10" t="s">
        <v>10</v>
      </c>
      <c r="C337" s="10">
        <v>28</v>
      </c>
      <c r="D337" s="10">
        <v>40</v>
      </c>
      <c r="E337" s="10">
        <v>161</v>
      </c>
      <c r="F337" s="10">
        <v>1.43</v>
      </c>
      <c r="G337" s="11">
        <v>2000</v>
      </c>
      <c r="H337" s="15">
        <f t="shared" si="5"/>
        <v>12.422360248447205</v>
      </c>
      <c r="I337" s="15">
        <f>Table2[[#This Row],[Ad Spend]]/Table2[[#This Row],[Leads]]</f>
        <v>5.75</v>
      </c>
      <c r="J337" s="15">
        <f>Table2[[#This Row],[Ad Spend]]/Table2[[#This Row],[Conversions]]</f>
        <v>4.0250000000000004</v>
      </c>
    </row>
    <row r="338" spans="1:10" x14ac:dyDescent="0.35">
      <c r="A338" s="16">
        <v>45358</v>
      </c>
      <c r="B338" s="8" t="s">
        <v>10</v>
      </c>
      <c r="C338" s="8">
        <v>120</v>
      </c>
      <c r="D338" s="8">
        <v>28</v>
      </c>
      <c r="E338" s="8">
        <v>815</v>
      </c>
      <c r="F338" s="8">
        <v>0.23</v>
      </c>
      <c r="G338" s="9">
        <v>1400</v>
      </c>
      <c r="H338" s="15">
        <f t="shared" si="5"/>
        <v>1.7177914110429449</v>
      </c>
      <c r="I338" s="15">
        <f>Table2[[#This Row],[Ad Spend]]/Table2[[#This Row],[Leads]]</f>
        <v>6.791666666666667</v>
      </c>
      <c r="J338" s="15">
        <f>Table2[[#This Row],[Ad Spend]]/Table2[[#This Row],[Conversions]]</f>
        <v>29.107142857142858</v>
      </c>
    </row>
    <row r="339" spans="1:10" x14ac:dyDescent="0.35">
      <c r="A339" s="17">
        <v>45359</v>
      </c>
      <c r="B339" s="10" t="s">
        <v>10</v>
      </c>
      <c r="C339" s="10">
        <v>23</v>
      </c>
      <c r="D339" s="10">
        <v>20</v>
      </c>
      <c r="E339" s="10">
        <v>1979</v>
      </c>
      <c r="F339" s="10">
        <v>0.87</v>
      </c>
      <c r="G339" s="11">
        <v>1000</v>
      </c>
      <c r="H339" s="15">
        <f t="shared" si="5"/>
        <v>0.50530570995452251</v>
      </c>
      <c r="I339" s="15">
        <f>Table2[[#This Row],[Ad Spend]]/Table2[[#This Row],[Leads]]</f>
        <v>86.043478260869563</v>
      </c>
      <c r="J339" s="15">
        <f>Table2[[#This Row],[Ad Spend]]/Table2[[#This Row],[Conversions]]</f>
        <v>98.95</v>
      </c>
    </row>
    <row r="340" spans="1:10" x14ac:dyDescent="0.35">
      <c r="A340" s="16">
        <v>45360</v>
      </c>
      <c r="B340" s="8" t="s">
        <v>10</v>
      </c>
      <c r="C340" s="8">
        <v>77</v>
      </c>
      <c r="D340" s="8">
        <v>43</v>
      </c>
      <c r="E340" s="8">
        <v>486</v>
      </c>
      <c r="F340" s="8">
        <v>0.56000000000000005</v>
      </c>
      <c r="G340" s="9">
        <v>2150</v>
      </c>
      <c r="H340" s="15">
        <f t="shared" si="5"/>
        <v>4.423868312757202</v>
      </c>
      <c r="I340" s="15">
        <f>Table2[[#This Row],[Ad Spend]]/Table2[[#This Row],[Leads]]</f>
        <v>6.3116883116883118</v>
      </c>
      <c r="J340" s="15">
        <f>Table2[[#This Row],[Ad Spend]]/Table2[[#This Row],[Conversions]]</f>
        <v>11.302325581395349</v>
      </c>
    </row>
    <row r="341" spans="1:10" x14ac:dyDescent="0.35">
      <c r="A341" s="17">
        <v>45361</v>
      </c>
      <c r="B341" s="10" t="s">
        <v>10</v>
      </c>
      <c r="C341" s="10">
        <v>139</v>
      </c>
      <c r="D341" s="10">
        <v>31</v>
      </c>
      <c r="E341" s="10">
        <v>745</v>
      </c>
      <c r="F341" s="10">
        <v>0.22</v>
      </c>
      <c r="G341" s="11">
        <v>1550</v>
      </c>
      <c r="H341" s="15">
        <f t="shared" si="5"/>
        <v>2.0805369127516777</v>
      </c>
      <c r="I341" s="15">
        <f>Table2[[#This Row],[Ad Spend]]/Table2[[#This Row],[Leads]]</f>
        <v>5.3597122302158278</v>
      </c>
      <c r="J341" s="15">
        <f>Table2[[#This Row],[Ad Spend]]/Table2[[#This Row],[Conversions]]</f>
        <v>24.032258064516128</v>
      </c>
    </row>
    <row r="342" spans="1:10" x14ac:dyDescent="0.35">
      <c r="A342" s="16">
        <v>45362</v>
      </c>
      <c r="B342" s="8" t="s">
        <v>10</v>
      </c>
      <c r="C342" s="8">
        <v>33</v>
      </c>
      <c r="D342" s="8">
        <v>38</v>
      </c>
      <c r="E342" s="8">
        <v>464</v>
      </c>
      <c r="F342" s="8">
        <v>1.1499999999999999</v>
      </c>
      <c r="G342" s="9">
        <v>1900</v>
      </c>
      <c r="H342" s="15">
        <f t="shared" si="5"/>
        <v>4.0948275862068968</v>
      </c>
      <c r="I342" s="15">
        <f>Table2[[#This Row],[Ad Spend]]/Table2[[#This Row],[Leads]]</f>
        <v>14.060606060606061</v>
      </c>
      <c r="J342" s="15">
        <f>Table2[[#This Row],[Ad Spend]]/Table2[[#This Row],[Conversions]]</f>
        <v>12.210526315789474</v>
      </c>
    </row>
    <row r="343" spans="1:10" x14ac:dyDescent="0.35">
      <c r="A343" s="17">
        <v>45363</v>
      </c>
      <c r="B343" s="10" t="s">
        <v>10</v>
      </c>
      <c r="C343" s="10">
        <v>107</v>
      </c>
      <c r="D343" s="10">
        <v>10</v>
      </c>
      <c r="E343" s="10">
        <v>1483</v>
      </c>
      <c r="F343" s="10">
        <v>0.09</v>
      </c>
      <c r="G343" s="11">
        <v>500</v>
      </c>
      <c r="H343" s="15">
        <f t="shared" si="5"/>
        <v>0.33715441672285906</v>
      </c>
      <c r="I343" s="15">
        <f>Table2[[#This Row],[Ad Spend]]/Table2[[#This Row],[Leads]]</f>
        <v>13.859813084112149</v>
      </c>
      <c r="J343" s="15">
        <f>Table2[[#This Row],[Ad Spend]]/Table2[[#This Row],[Conversions]]</f>
        <v>148.30000000000001</v>
      </c>
    </row>
    <row r="344" spans="1:10" x14ac:dyDescent="0.35">
      <c r="A344" s="16">
        <v>45364</v>
      </c>
      <c r="B344" s="8" t="s">
        <v>10</v>
      </c>
      <c r="C344" s="8">
        <v>28</v>
      </c>
      <c r="D344" s="8">
        <v>49</v>
      </c>
      <c r="E344" s="8">
        <v>609</v>
      </c>
      <c r="F344" s="8">
        <v>1.75</v>
      </c>
      <c r="G344" s="9">
        <v>2450</v>
      </c>
      <c r="H344" s="15">
        <f t="shared" si="5"/>
        <v>4.0229885057471266</v>
      </c>
      <c r="I344" s="15">
        <f>Table2[[#This Row],[Ad Spend]]/Table2[[#This Row],[Leads]]</f>
        <v>21.75</v>
      </c>
      <c r="J344" s="15">
        <f>Table2[[#This Row],[Ad Spend]]/Table2[[#This Row],[Conversions]]</f>
        <v>12.428571428571429</v>
      </c>
    </row>
    <row r="345" spans="1:10" x14ac:dyDescent="0.35">
      <c r="A345" s="17">
        <v>45365</v>
      </c>
      <c r="B345" s="10" t="s">
        <v>10</v>
      </c>
      <c r="C345" s="10">
        <v>79</v>
      </c>
      <c r="D345" s="10">
        <v>19</v>
      </c>
      <c r="E345" s="10">
        <v>980</v>
      </c>
      <c r="F345" s="10">
        <v>0.24</v>
      </c>
      <c r="G345" s="11">
        <v>950</v>
      </c>
      <c r="H345" s="15">
        <f t="shared" si="5"/>
        <v>0.96938775510204078</v>
      </c>
      <c r="I345" s="15">
        <f>Table2[[#This Row],[Ad Spend]]/Table2[[#This Row],[Leads]]</f>
        <v>12.405063291139241</v>
      </c>
      <c r="J345" s="15">
        <f>Table2[[#This Row],[Ad Spend]]/Table2[[#This Row],[Conversions]]</f>
        <v>51.578947368421055</v>
      </c>
    </row>
    <row r="346" spans="1:10" x14ac:dyDescent="0.35">
      <c r="A346" s="16">
        <v>45366</v>
      </c>
      <c r="B346" s="8" t="s">
        <v>10</v>
      </c>
      <c r="C346" s="8">
        <v>70</v>
      </c>
      <c r="D346" s="8">
        <v>18</v>
      </c>
      <c r="E346" s="8">
        <v>1170</v>
      </c>
      <c r="F346" s="8">
        <v>0.26</v>
      </c>
      <c r="G346" s="9">
        <v>900</v>
      </c>
      <c r="H346" s="15">
        <f t="shared" si="5"/>
        <v>0.76923076923076927</v>
      </c>
      <c r="I346" s="15">
        <f>Table2[[#This Row],[Ad Spend]]/Table2[[#This Row],[Leads]]</f>
        <v>16.714285714285715</v>
      </c>
      <c r="J346" s="15">
        <f>Table2[[#This Row],[Ad Spend]]/Table2[[#This Row],[Conversions]]</f>
        <v>65</v>
      </c>
    </row>
    <row r="347" spans="1:10" x14ac:dyDescent="0.35">
      <c r="A347" s="17">
        <v>45367</v>
      </c>
      <c r="B347" s="10" t="s">
        <v>10</v>
      </c>
      <c r="C347" s="10">
        <v>35</v>
      </c>
      <c r="D347" s="10">
        <v>6</v>
      </c>
      <c r="E347" s="10">
        <v>1173</v>
      </c>
      <c r="F347" s="10">
        <v>0.17</v>
      </c>
      <c r="G347" s="11">
        <v>300</v>
      </c>
      <c r="H347" s="15">
        <f t="shared" si="5"/>
        <v>0.25575447570332482</v>
      </c>
      <c r="I347" s="15">
        <f>Table2[[#This Row],[Ad Spend]]/Table2[[#This Row],[Leads]]</f>
        <v>33.514285714285712</v>
      </c>
      <c r="J347" s="15">
        <f>Table2[[#This Row],[Ad Spend]]/Table2[[#This Row],[Conversions]]</f>
        <v>195.5</v>
      </c>
    </row>
    <row r="348" spans="1:10" x14ac:dyDescent="0.35">
      <c r="A348" s="16">
        <v>45368</v>
      </c>
      <c r="B348" s="8" t="s">
        <v>10</v>
      </c>
      <c r="C348" s="8">
        <v>111</v>
      </c>
      <c r="D348" s="8">
        <v>44</v>
      </c>
      <c r="E348" s="8">
        <v>295</v>
      </c>
      <c r="F348" s="8">
        <v>0.4</v>
      </c>
      <c r="G348" s="9">
        <v>2200</v>
      </c>
      <c r="H348" s="15">
        <f t="shared" si="5"/>
        <v>7.4576271186440675</v>
      </c>
      <c r="I348" s="15">
        <f>Table2[[#This Row],[Ad Spend]]/Table2[[#This Row],[Leads]]</f>
        <v>2.6576576576576576</v>
      </c>
      <c r="J348" s="15">
        <f>Table2[[#This Row],[Ad Spend]]/Table2[[#This Row],[Conversions]]</f>
        <v>6.7045454545454541</v>
      </c>
    </row>
    <row r="349" spans="1:10" x14ac:dyDescent="0.35">
      <c r="A349" s="17">
        <v>45369</v>
      </c>
      <c r="B349" s="10" t="s">
        <v>10</v>
      </c>
      <c r="C349" s="10">
        <v>51</v>
      </c>
      <c r="D349" s="10">
        <v>36</v>
      </c>
      <c r="E349" s="10">
        <v>367</v>
      </c>
      <c r="F349" s="10">
        <v>0.71</v>
      </c>
      <c r="G349" s="11">
        <v>1800</v>
      </c>
      <c r="H349" s="15">
        <f t="shared" si="5"/>
        <v>4.9046321525885554</v>
      </c>
      <c r="I349" s="15">
        <f>Table2[[#This Row],[Ad Spend]]/Table2[[#This Row],[Leads]]</f>
        <v>7.1960784313725492</v>
      </c>
      <c r="J349" s="15">
        <f>Table2[[#This Row],[Ad Spend]]/Table2[[#This Row],[Conversions]]</f>
        <v>10.194444444444445</v>
      </c>
    </row>
    <row r="350" spans="1:10" x14ac:dyDescent="0.35">
      <c r="A350" s="16">
        <v>45370</v>
      </c>
      <c r="B350" s="8" t="s">
        <v>10</v>
      </c>
      <c r="C350" s="8">
        <v>71</v>
      </c>
      <c r="D350" s="8">
        <v>17</v>
      </c>
      <c r="E350" s="8">
        <v>597</v>
      </c>
      <c r="F350" s="8">
        <v>0.24</v>
      </c>
      <c r="G350" s="9">
        <v>850</v>
      </c>
      <c r="H350" s="15">
        <f t="shared" si="5"/>
        <v>1.4237855946398661</v>
      </c>
      <c r="I350" s="15">
        <f>Table2[[#This Row],[Ad Spend]]/Table2[[#This Row],[Leads]]</f>
        <v>8.408450704225352</v>
      </c>
      <c r="J350" s="15">
        <f>Table2[[#This Row],[Ad Spend]]/Table2[[#This Row],[Conversions]]</f>
        <v>35.117647058823529</v>
      </c>
    </row>
    <row r="351" spans="1:10" x14ac:dyDescent="0.35">
      <c r="A351" s="17">
        <v>45371</v>
      </c>
      <c r="B351" s="10" t="s">
        <v>10</v>
      </c>
      <c r="C351" s="10">
        <v>77</v>
      </c>
      <c r="D351" s="10">
        <v>35</v>
      </c>
      <c r="E351" s="10">
        <v>1670</v>
      </c>
      <c r="F351" s="10">
        <v>0.45</v>
      </c>
      <c r="G351" s="11">
        <v>1750</v>
      </c>
      <c r="H351" s="15">
        <f t="shared" si="5"/>
        <v>1.0479041916167664</v>
      </c>
      <c r="I351" s="15">
        <f>Table2[[#This Row],[Ad Spend]]/Table2[[#This Row],[Leads]]</f>
        <v>21.688311688311689</v>
      </c>
      <c r="J351" s="15">
        <f>Table2[[#This Row],[Ad Spend]]/Table2[[#This Row],[Conversions]]</f>
        <v>47.714285714285715</v>
      </c>
    </row>
    <row r="352" spans="1:10" x14ac:dyDescent="0.35">
      <c r="A352" s="16">
        <v>45372</v>
      </c>
      <c r="B352" s="8" t="s">
        <v>10</v>
      </c>
      <c r="C352" s="8">
        <v>46</v>
      </c>
      <c r="D352" s="8">
        <v>34</v>
      </c>
      <c r="E352" s="8">
        <v>1168</v>
      </c>
      <c r="F352" s="8">
        <v>0.74</v>
      </c>
      <c r="G352" s="9">
        <v>1700</v>
      </c>
      <c r="H352" s="15">
        <f t="shared" si="5"/>
        <v>1.4554794520547945</v>
      </c>
      <c r="I352" s="15">
        <f>Table2[[#This Row],[Ad Spend]]/Table2[[#This Row],[Leads]]</f>
        <v>25.391304347826086</v>
      </c>
      <c r="J352" s="15">
        <f>Table2[[#This Row],[Ad Spend]]/Table2[[#This Row],[Conversions]]</f>
        <v>34.352941176470587</v>
      </c>
    </row>
    <row r="353" spans="1:10" x14ac:dyDescent="0.35">
      <c r="A353" s="17">
        <v>45373</v>
      </c>
      <c r="B353" s="10" t="s">
        <v>10</v>
      </c>
      <c r="C353" s="10">
        <v>46</v>
      </c>
      <c r="D353" s="10">
        <v>31</v>
      </c>
      <c r="E353" s="10">
        <v>135</v>
      </c>
      <c r="F353" s="10">
        <v>0.67</v>
      </c>
      <c r="G353" s="11">
        <v>1550</v>
      </c>
      <c r="H353" s="15">
        <f t="shared" si="5"/>
        <v>11.481481481481481</v>
      </c>
      <c r="I353" s="15">
        <f>Table2[[#This Row],[Ad Spend]]/Table2[[#This Row],[Leads]]</f>
        <v>2.9347826086956523</v>
      </c>
      <c r="J353" s="15">
        <f>Table2[[#This Row],[Ad Spend]]/Table2[[#This Row],[Conversions]]</f>
        <v>4.354838709677419</v>
      </c>
    </row>
    <row r="354" spans="1:10" x14ac:dyDescent="0.35">
      <c r="A354" s="16">
        <v>45374</v>
      </c>
      <c r="B354" s="8" t="s">
        <v>10</v>
      </c>
      <c r="C354" s="8">
        <v>99</v>
      </c>
      <c r="D354" s="8">
        <v>36</v>
      </c>
      <c r="E354" s="8">
        <v>451</v>
      </c>
      <c r="F354" s="8">
        <v>0.36</v>
      </c>
      <c r="G354" s="9">
        <v>1800</v>
      </c>
      <c r="H354" s="15">
        <f t="shared" si="5"/>
        <v>3.9911308203991132</v>
      </c>
      <c r="I354" s="15">
        <f>Table2[[#This Row],[Ad Spend]]/Table2[[#This Row],[Leads]]</f>
        <v>4.5555555555555554</v>
      </c>
      <c r="J354" s="15">
        <f>Table2[[#This Row],[Ad Spend]]/Table2[[#This Row],[Conversions]]</f>
        <v>12.527777777777779</v>
      </c>
    </row>
    <row r="355" spans="1:10" x14ac:dyDescent="0.35">
      <c r="A355" s="17">
        <v>45375</v>
      </c>
      <c r="B355" s="10" t="s">
        <v>10</v>
      </c>
      <c r="C355" s="10">
        <v>131</v>
      </c>
      <c r="D355" s="10">
        <v>43</v>
      </c>
      <c r="E355" s="10">
        <v>283</v>
      </c>
      <c r="F355" s="10">
        <v>0.33</v>
      </c>
      <c r="G355" s="11">
        <v>2150</v>
      </c>
      <c r="H355" s="15">
        <f t="shared" si="5"/>
        <v>7.5971731448763249</v>
      </c>
      <c r="I355" s="15">
        <f>Table2[[#This Row],[Ad Spend]]/Table2[[#This Row],[Leads]]</f>
        <v>2.1603053435114505</v>
      </c>
      <c r="J355" s="15">
        <f>Table2[[#This Row],[Ad Spend]]/Table2[[#This Row],[Conversions]]</f>
        <v>6.5813953488372094</v>
      </c>
    </row>
    <row r="356" spans="1:10" x14ac:dyDescent="0.35">
      <c r="A356" s="16">
        <v>45376</v>
      </c>
      <c r="B356" s="8" t="s">
        <v>10</v>
      </c>
      <c r="C356" s="8">
        <v>69</v>
      </c>
      <c r="D356" s="8">
        <v>45</v>
      </c>
      <c r="E356" s="8">
        <v>806</v>
      </c>
      <c r="F356" s="8">
        <v>0.65</v>
      </c>
      <c r="G356" s="9">
        <v>2250</v>
      </c>
      <c r="H356" s="15">
        <f t="shared" si="5"/>
        <v>2.791563275434243</v>
      </c>
      <c r="I356" s="15">
        <f>Table2[[#This Row],[Ad Spend]]/Table2[[#This Row],[Leads]]</f>
        <v>11.681159420289855</v>
      </c>
      <c r="J356" s="15">
        <f>Table2[[#This Row],[Ad Spend]]/Table2[[#This Row],[Conversions]]</f>
        <v>17.911111111111111</v>
      </c>
    </row>
    <row r="357" spans="1:10" x14ac:dyDescent="0.35">
      <c r="A357" s="17">
        <v>45377</v>
      </c>
      <c r="B357" s="10" t="s">
        <v>10</v>
      </c>
      <c r="C357" s="10">
        <v>44</v>
      </c>
      <c r="D357" s="10">
        <v>39</v>
      </c>
      <c r="E357" s="10">
        <v>1499</v>
      </c>
      <c r="F357" s="10">
        <v>0.89</v>
      </c>
      <c r="G357" s="11">
        <v>1950</v>
      </c>
      <c r="H357" s="15">
        <f t="shared" si="5"/>
        <v>1.3008672448298866</v>
      </c>
      <c r="I357" s="15">
        <f>Table2[[#This Row],[Ad Spend]]/Table2[[#This Row],[Leads]]</f>
        <v>34.06818181818182</v>
      </c>
      <c r="J357" s="15">
        <f>Table2[[#This Row],[Ad Spend]]/Table2[[#This Row],[Conversions]]</f>
        <v>38.435897435897438</v>
      </c>
    </row>
    <row r="358" spans="1:10" x14ac:dyDescent="0.35">
      <c r="A358" s="16">
        <v>45378</v>
      </c>
      <c r="B358" s="8" t="s">
        <v>10</v>
      </c>
      <c r="C358" s="8">
        <v>71</v>
      </c>
      <c r="D358" s="8">
        <v>31</v>
      </c>
      <c r="E358" s="8">
        <v>887</v>
      </c>
      <c r="F358" s="8">
        <v>0.44</v>
      </c>
      <c r="G358" s="9">
        <v>1550</v>
      </c>
      <c r="H358" s="15">
        <f t="shared" si="5"/>
        <v>1.7474633596392333</v>
      </c>
      <c r="I358" s="15">
        <f>Table2[[#This Row],[Ad Spend]]/Table2[[#This Row],[Leads]]</f>
        <v>12.492957746478874</v>
      </c>
      <c r="J358" s="15">
        <f>Table2[[#This Row],[Ad Spend]]/Table2[[#This Row],[Conversions]]</f>
        <v>28.612903225806452</v>
      </c>
    </row>
    <row r="359" spans="1:10" x14ac:dyDescent="0.35">
      <c r="A359" s="17">
        <v>45379</v>
      </c>
      <c r="B359" s="10" t="s">
        <v>10</v>
      </c>
      <c r="C359" s="10">
        <v>134</v>
      </c>
      <c r="D359" s="10">
        <v>28</v>
      </c>
      <c r="E359" s="10">
        <v>1140</v>
      </c>
      <c r="F359" s="10">
        <v>0.21</v>
      </c>
      <c r="G359" s="11">
        <v>1400</v>
      </c>
      <c r="H359" s="15">
        <f t="shared" si="5"/>
        <v>1.2280701754385965</v>
      </c>
      <c r="I359" s="15">
        <f>Table2[[#This Row],[Ad Spend]]/Table2[[#This Row],[Leads]]</f>
        <v>8.5074626865671643</v>
      </c>
      <c r="J359" s="15">
        <f>Table2[[#This Row],[Ad Spend]]/Table2[[#This Row],[Conversions]]</f>
        <v>40.714285714285715</v>
      </c>
    </row>
    <row r="360" spans="1:10" x14ac:dyDescent="0.35">
      <c r="A360" s="16">
        <v>45380</v>
      </c>
      <c r="B360" s="8" t="s">
        <v>10</v>
      </c>
      <c r="C360" s="8">
        <v>49</v>
      </c>
      <c r="D360" s="8">
        <v>24</v>
      </c>
      <c r="E360" s="8">
        <v>1297</v>
      </c>
      <c r="F360" s="8">
        <v>0.49</v>
      </c>
      <c r="G360" s="9">
        <v>1200</v>
      </c>
      <c r="H360" s="15">
        <f t="shared" si="5"/>
        <v>0.9252120277563608</v>
      </c>
      <c r="I360" s="15">
        <f>Table2[[#This Row],[Ad Spend]]/Table2[[#This Row],[Leads]]</f>
        <v>26.469387755102041</v>
      </c>
      <c r="J360" s="15">
        <f>Table2[[#This Row],[Ad Spend]]/Table2[[#This Row],[Conversions]]</f>
        <v>54.041666666666664</v>
      </c>
    </row>
    <row r="361" spans="1:10" x14ac:dyDescent="0.35">
      <c r="A361" s="18">
        <v>45381</v>
      </c>
      <c r="B361" s="4" t="s">
        <v>10</v>
      </c>
      <c r="C361" s="4">
        <v>134</v>
      </c>
      <c r="D361" s="4">
        <v>33</v>
      </c>
      <c r="E361" s="4">
        <v>397</v>
      </c>
      <c r="F361" s="4">
        <v>0.25</v>
      </c>
      <c r="G361" s="5">
        <v>1650</v>
      </c>
      <c r="H361" s="15">
        <f t="shared" si="5"/>
        <v>4.1561712846347607</v>
      </c>
      <c r="I361" s="15">
        <f>Table2[[#This Row],[Ad Spend]]/Table2[[#This Row],[Leads]]</f>
        <v>2.9626865671641789</v>
      </c>
      <c r="J361" s="15">
        <f>Table2[[#This Row],[Ad Spend]]/Table2[[#This Row],[Conversions]]</f>
        <v>12.030303030303031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712D-7E8A-445F-A2DC-CB2FF93B4BC6}">
  <dimension ref="A3:L24"/>
  <sheetViews>
    <sheetView workbookViewId="0">
      <selection activeCell="A18" sqref="A18"/>
    </sheetView>
  </sheetViews>
  <sheetFormatPr defaultRowHeight="14.5" x14ac:dyDescent="0.35"/>
  <cols>
    <col min="1" max="2" width="11.6328125" bestFit="1" customWidth="1"/>
    <col min="3" max="3" width="10.08984375" bestFit="1" customWidth="1"/>
    <col min="4" max="4" width="9.7265625" bestFit="1" customWidth="1"/>
    <col min="5" max="6" width="10.453125" bestFit="1" customWidth="1"/>
    <col min="7" max="7" width="12.7265625" bestFit="1" customWidth="1"/>
    <col min="8" max="8" width="20.90625" bestFit="1" customWidth="1"/>
    <col min="9" max="9" width="9.6328125" customWidth="1"/>
    <col min="10" max="10" width="12.36328125" bestFit="1" customWidth="1"/>
    <col min="11" max="11" width="9" bestFit="1" customWidth="1"/>
    <col min="12" max="12" width="12" bestFit="1" customWidth="1"/>
    <col min="13" max="13" width="14.36328125" bestFit="1" customWidth="1"/>
  </cols>
  <sheetData>
    <row r="3" spans="1:12" x14ac:dyDescent="0.35">
      <c r="A3" t="s">
        <v>12</v>
      </c>
      <c r="C3" s="19" t="s">
        <v>18</v>
      </c>
      <c r="D3" t="s">
        <v>25</v>
      </c>
      <c r="E3" t="s">
        <v>24</v>
      </c>
      <c r="G3" s="19" t="s">
        <v>18</v>
      </c>
      <c r="H3" t="s">
        <v>23</v>
      </c>
      <c r="J3" s="19" t="s">
        <v>18</v>
      </c>
      <c r="K3" t="s">
        <v>24</v>
      </c>
    </row>
    <row r="4" spans="1:12" ht="15.5" x14ac:dyDescent="0.35">
      <c r="A4" s="22">
        <v>490800</v>
      </c>
      <c r="C4" s="20" t="s">
        <v>20</v>
      </c>
      <c r="D4" s="22">
        <v>128469</v>
      </c>
      <c r="E4" s="22">
        <v>160100</v>
      </c>
      <c r="G4" s="20" t="s">
        <v>8</v>
      </c>
      <c r="H4" s="22">
        <v>8041</v>
      </c>
      <c r="J4" s="20" t="s">
        <v>8</v>
      </c>
      <c r="K4" s="22">
        <v>116000</v>
      </c>
    </row>
    <row r="5" spans="1:12" ht="15.5" x14ac:dyDescent="0.35">
      <c r="C5" s="20" t="s">
        <v>21</v>
      </c>
      <c r="D5" s="22">
        <v>125913</v>
      </c>
      <c r="E5" s="22">
        <v>152100</v>
      </c>
      <c r="G5" s="20" t="s">
        <v>7</v>
      </c>
      <c r="H5" s="22">
        <v>7979</v>
      </c>
      <c r="J5" s="20" t="s">
        <v>7</v>
      </c>
      <c r="K5" s="22">
        <v>117600</v>
      </c>
    </row>
    <row r="6" spans="1:12" ht="15.5" x14ac:dyDescent="0.35">
      <c r="A6" t="s">
        <v>11</v>
      </c>
      <c r="C6" s="20" t="s">
        <v>22</v>
      </c>
      <c r="D6" s="22">
        <v>114501</v>
      </c>
      <c r="E6" s="22">
        <v>178600</v>
      </c>
      <c r="G6" s="20" t="s">
        <v>10</v>
      </c>
      <c r="H6" s="22">
        <v>7359</v>
      </c>
      <c r="J6" s="20" t="s">
        <v>10</v>
      </c>
      <c r="K6" s="22">
        <v>132300</v>
      </c>
    </row>
    <row r="7" spans="1:12" ht="15.5" x14ac:dyDescent="0.35">
      <c r="A7" s="22">
        <v>368883</v>
      </c>
      <c r="C7" s="20" t="s">
        <v>19</v>
      </c>
      <c r="D7" s="22">
        <v>368883</v>
      </c>
      <c r="E7" s="22">
        <v>490800</v>
      </c>
      <c r="G7" s="20" t="s">
        <v>9</v>
      </c>
      <c r="H7" s="22">
        <v>7256</v>
      </c>
      <c r="J7" s="20" t="s">
        <v>9</v>
      </c>
      <c r="K7" s="22">
        <v>124900</v>
      </c>
    </row>
    <row r="8" spans="1:12" ht="15.5" x14ac:dyDescent="0.35">
      <c r="G8" s="20" t="s">
        <v>19</v>
      </c>
      <c r="H8" s="22">
        <v>30635</v>
      </c>
      <c r="J8" s="20" t="s">
        <v>19</v>
      </c>
      <c r="K8" s="22">
        <v>490800</v>
      </c>
    </row>
    <row r="9" spans="1:12" ht="15.5" x14ac:dyDescent="0.35">
      <c r="A9" t="s">
        <v>15</v>
      </c>
      <c r="C9" s="19" t="s">
        <v>18</v>
      </c>
      <c r="D9" t="s">
        <v>25</v>
      </c>
      <c r="E9" t="s">
        <v>24</v>
      </c>
    </row>
    <row r="10" spans="1:12" ht="15.5" x14ac:dyDescent="0.35">
      <c r="A10" s="22">
        <v>9816</v>
      </c>
      <c r="C10" s="20" t="s">
        <v>8</v>
      </c>
      <c r="D10" s="22">
        <v>93776</v>
      </c>
      <c r="E10" s="22">
        <v>116000</v>
      </c>
      <c r="G10" s="19" t="s">
        <v>18</v>
      </c>
      <c r="H10" t="s">
        <v>13</v>
      </c>
      <c r="J10" s="19" t="s">
        <v>18</v>
      </c>
      <c r="K10" t="s">
        <v>24</v>
      </c>
      <c r="L10" t="s">
        <v>26</v>
      </c>
    </row>
    <row r="11" spans="1:12" ht="15.5" x14ac:dyDescent="0.35">
      <c r="C11" s="20" t="s">
        <v>7</v>
      </c>
      <c r="D11" s="22">
        <v>96717</v>
      </c>
      <c r="E11" s="22">
        <v>117600</v>
      </c>
      <c r="G11" s="20" t="s">
        <v>8</v>
      </c>
      <c r="H11" s="22">
        <v>33.519999999999989</v>
      </c>
      <c r="J11" s="20" t="s">
        <v>20</v>
      </c>
      <c r="K11" s="22">
        <v>160100</v>
      </c>
      <c r="L11" s="22">
        <v>3202</v>
      </c>
    </row>
    <row r="12" spans="1:12" ht="15.5" x14ac:dyDescent="0.35">
      <c r="A12" t="s">
        <v>14</v>
      </c>
      <c r="C12" s="20" t="s">
        <v>10</v>
      </c>
      <c r="D12" s="22">
        <v>92768</v>
      </c>
      <c r="E12" s="22">
        <v>132300</v>
      </c>
      <c r="G12" s="20" t="s">
        <v>7</v>
      </c>
      <c r="H12" s="22">
        <v>35.290000000000013</v>
      </c>
      <c r="J12" s="20" t="s">
        <v>21</v>
      </c>
      <c r="K12" s="22">
        <v>152100</v>
      </c>
      <c r="L12" s="22">
        <v>3042</v>
      </c>
    </row>
    <row r="13" spans="1:12" ht="15.5" x14ac:dyDescent="0.35">
      <c r="A13" s="22">
        <v>30635</v>
      </c>
      <c r="C13" s="20" t="s">
        <v>9</v>
      </c>
      <c r="D13" s="22">
        <v>85622</v>
      </c>
      <c r="E13" s="22">
        <v>124900</v>
      </c>
      <c r="G13" s="20" t="s">
        <v>10</v>
      </c>
      <c r="H13" s="22">
        <v>43.180000000000007</v>
      </c>
      <c r="J13" s="20" t="s">
        <v>22</v>
      </c>
      <c r="K13" s="22">
        <v>178600</v>
      </c>
      <c r="L13" s="22">
        <v>3572</v>
      </c>
    </row>
    <row r="14" spans="1:12" ht="15.5" x14ac:dyDescent="0.35">
      <c r="C14" s="20" t="s">
        <v>19</v>
      </c>
      <c r="D14" s="22">
        <v>368883</v>
      </c>
      <c r="E14" s="22">
        <v>490800</v>
      </c>
      <c r="G14" s="20" t="s">
        <v>9</v>
      </c>
      <c r="H14" s="22">
        <v>41.959999999999994</v>
      </c>
      <c r="J14" s="20" t="s">
        <v>19</v>
      </c>
      <c r="K14" s="22">
        <v>490800</v>
      </c>
      <c r="L14" s="22">
        <v>9816</v>
      </c>
    </row>
    <row r="15" spans="1:12" ht="15.5" x14ac:dyDescent="0.35">
      <c r="A15" t="s">
        <v>13</v>
      </c>
      <c r="G15" s="20" t="s">
        <v>19</v>
      </c>
      <c r="H15" s="22">
        <v>153.94999999999999</v>
      </c>
    </row>
    <row r="16" spans="1:12" ht="15.5" x14ac:dyDescent="0.35">
      <c r="A16" s="22">
        <v>153.95000000000016</v>
      </c>
    </row>
    <row r="17" spans="1:5" x14ac:dyDescent="0.35">
      <c r="C17" t="s">
        <v>29</v>
      </c>
      <c r="E17" t="s">
        <v>30</v>
      </c>
    </row>
    <row r="18" spans="1:5" ht="15.5" x14ac:dyDescent="0.35">
      <c r="A18" t="s">
        <v>17</v>
      </c>
      <c r="C18" s="13">
        <v>5605.901509448986</v>
      </c>
      <c r="E18" s="13">
        <v>20401.412771158321</v>
      </c>
    </row>
    <row r="19" spans="1:5" ht="15.5" x14ac:dyDescent="0.35">
      <c r="A19" s="13">
        <v>806.52112773461772</v>
      </c>
    </row>
    <row r="20" spans="1:5" ht="15.5" x14ac:dyDescent="0.35"/>
    <row r="21" spans="1:5" ht="15.5" x14ac:dyDescent="0.35"/>
    <row r="22" spans="1:5" ht="15.5" x14ac:dyDescent="0.35"/>
    <row r="23" spans="1:5" ht="15.5" x14ac:dyDescent="0.35"/>
    <row r="24" spans="1:5" ht="15.5" x14ac:dyDescent="0.35"/>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FB18A-11A8-4630-8E26-D3360CB5B501}">
  <dimension ref="A1:S10"/>
  <sheetViews>
    <sheetView showGridLines="0" showRowColHeaders="0" tabSelected="1" zoomScale="96" zoomScaleNormal="96" workbookViewId="0">
      <selection activeCell="U17" sqref="U17"/>
    </sheetView>
  </sheetViews>
  <sheetFormatPr defaultRowHeight="14.5" x14ac:dyDescent="0.35"/>
  <cols>
    <col min="1" max="16384" width="8.7265625" style="2"/>
  </cols>
  <sheetData>
    <row r="1" spans="1:19" x14ac:dyDescent="0.35">
      <c r="A1" s="23"/>
      <c r="B1" s="23"/>
      <c r="C1" s="23"/>
      <c r="D1" s="23"/>
      <c r="E1" s="23"/>
      <c r="F1" s="23"/>
      <c r="G1" s="23"/>
      <c r="H1" s="23"/>
    </row>
    <row r="5" spans="1:19" ht="15.5" x14ac:dyDescent="0.35">
      <c r="S5" s="21"/>
    </row>
    <row r="10" spans="1:19" ht="15.5" x14ac:dyDescent="0.35">
      <c r="G10" s="12"/>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3C0F84-553F-4531-BE31-8D50943A66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Keerti Kalakoti</dc:creator>
  <cp:lastModifiedBy>Keerti Kalakoti</cp:lastModifiedBy>
  <dcterms:created xsi:type="dcterms:W3CDTF">2025-03-17T09:15:16Z</dcterms:created>
  <dcterms:modified xsi:type="dcterms:W3CDTF">2026-03-13T09:50:02Z</dcterms:modified>
</cp:coreProperties>
</file>